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_DEVELOPMENT\ST_MED\"/>
    </mc:Choice>
  </mc:AlternateContent>
  <xr:revisionPtr revIDLastSave="0" documentId="13_ncr:1_{78DB412E-CE3C-4285-964E-13AC1F203A10}" xr6:coauthVersionLast="46" xr6:coauthVersionMax="46" xr10:uidLastSave="{00000000-0000-0000-0000-000000000000}"/>
  <bookViews>
    <workbookView xWindow="28680" yWindow="-120" windowWidth="29040" windowHeight="15840" activeTab="6" xr2:uid="{D1D06EAC-E0C0-48C9-8D3C-A0998872C0C4}"/>
  </bookViews>
  <sheets>
    <sheet name="DB" sheetId="1" r:id="rId1"/>
    <sheet name="CODING" sheetId="2" r:id="rId2"/>
    <sheet name="Staff" sheetId="3" r:id="rId3"/>
    <sheet name="PRODUCT" sheetId="4" r:id="rId4"/>
    <sheet name="PIVOT_PRODUCT" sheetId="5" r:id="rId5"/>
    <sheet name="DB_PRODUCT" sheetId="6" r:id="rId6"/>
    <sheet name="EDIT PRIVILEGE" sheetId="8" r:id="rId7"/>
    <sheet name="Sheet5" sheetId="7" r:id="rId8"/>
  </sheet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8" l="1"/>
  <c r="I5" i="8"/>
  <c r="I6" i="8"/>
  <c r="I7" i="8"/>
  <c r="I8" i="8"/>
  <c r="I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3" i="8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3" i="4"/>
  <c r="I2" i="2"/>
  <c r="I3" i="2"/>
  <c r="I4" i="2"/>
  <c r="I5" i="2"/>
  <c r="I6" i="2"/>
  <c r="I7" i="2"/>
  <c r="I8" i="2"/>
  <c r="I9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10" i="2"/>
</calcChain>
</file>

<file path=xl/sharedStrings.xml><?xml version="1.0" encoding="utf-8"?>
<sst xmlns="http://schemas.openxmlformats.org/spreadsheetml/2006/main" count="5581" uniqueCount="1194">
  <si>
    <t>UID</t>
  </si>
  <si>
    <t>SALE_DATE</t>
  </si>
  <si>
    <t>วันที่ยื่นซอง</t>
  </si>
  <si>
    <t>SALE_HOSPITAL</t>
  </si>
  <si>
    <t>โรงพยาบาล</t>
  </si>
  <si>
    <t>SALE_DEPARTMENT</t>
  </si>
  <si>
    <t>หน่วยงาน</t>
  </si>
  <si>
    <t>SALE_PRODUCT_MODEL_ID</t>
  </si>
  <si>
    <t>SALE_PRODUCT_MODEL_NAME</t>
  </si>
  <si>
    <t>โมเดล</t>
  </si>
  <si>
    <t>PRODUCT_NAME</t>
  </si>
  <si>
    <t>สินค้า</t>
  </si>
  <si>
    <t>BRAND_NAME</t>
  </si>
  <si>
    <t>แบรนด์</t>
  </si>
  <si>
    <t>SALE_UNIT_PRICE</t>
  </si>
  <si>
    <t>ราคา/หน่วย</t>
  </si>
  <si>
    <t>SALE_QTY</t>
  </si>
  <si>
    <t>จำนวน</t>
  </si>
  <si>
    <t>SALE_TOTAL_PRICE</t>
  </si>
  <si>
    <t>ราคารวม Vat</t>
  </si>
  <si>
    <t>SALE_CUSTSTATE_ID</t>
  </si>
  <si>
    <t>CUSTSTATE_NAME</t>
  </si>
  <si>
    <t>สถานะลูกค้า</t>
  </si>
  <si>
    <t>SALE_ORDERSTATE_ID</t>
  </si>
  <si>
    <t>ORDERSTATE_NAME</t>
  </si>
  <si>
    <t>สถานะสินค้า</t>
  </si>
  <si>
    <t>SALE_ESTIMATE_IN</t>
  </si>
  <si>
    <t>คาดการณ์สินค้าเข้า</t>
  </si>
  <si>
    <t>SALE_STAFF_ID</t>
  </si>
  <si>
    <t>SALE_STAFF_AM_ID</t>
  </si>
  <si>
    <t>SALE_STAFF_BM_ID</t>
  </si>
  <si>
    <t>SALE_STAFF_SUP_ID</t>
  </si>
  <si>
    <t>SALE_ORDER_TYPE</t>
  </si>
  <si>
    <t>ORDERTYPE_NAME</t>
  </si>
  <si>
    <t>B2</t>
  </si>
  <si>
    <t>SALE_ORDER_YEAR</t>
  </si>
  <si>
    <t>ปี</t>
  </si>
  <si>
    <t>SALE_ORDER_MONTH</t>
  </si>
  <si>
    <t>เดือน</t>
  </si>
  <si>
    <t>SALE_PROB_ID</t>
  </si>
  <si>
    <t>ORDERPROB_NAME</t>
  </si>
  <si>
    <t>ความน่าจะเป็น</t>
  </si>
  <si>
    <t>SALE_BUDGET_ID</t>
  </si>
  <si>
    <t>BUDGETTYPE_NAME</t>
  </si>
  <si>
    <t>ประเภทงบ</t>
  </si>
  <si>
    <t>STAFF_ID</t>
  </si>
  <si>
    <t>STAFF_NAME</t>
  </si>
  <si>
    <t>พนักงานขาย</t>
  </si>
  <si>
    <t>BM_ID</t>
  </si>
  <si>
    <t>BM_NAME</t>
  </si>
  <si>
    <t>BM</t>
  </si>
  <si>
    <t>AM_ID</t>
  </si>
  <si>
    <t>AM_NAME</t>
  </si>
  <si>
    <t>AM</t>
  </si>
  <si>
    <t>SALE_REMARK</t>
  </si>
  <si>
    <t>หมายเหตุ</t>
  </si>
  <si>
    <t>SALE_CWHEN</t>
  </si>
  <si>
    <t>SALE_MWHEN</t>
  </si>
  <si>
    <t>SALE_CNAME</t>
  </si>
  <si>
    <t>SALE_MNAME</t>
  </si>
  <si>
    <t>txt</t>
  </si>
  <si>
    <t>sel</t>
  </si>
  <si>
    <t xml:space="preserve"> $("#txt_sale_remark");</t>
  </si>
  <si>
    <t xml:space="preserve"> ctrl_txt_sale_remark </t>
  </si>
  <si>
    <t xml:space="preserve"> $("#sel_am_name");</t>
  </si>
  <si>
    <t xml:space="preserve"> ctrl_sel_am_name </t>
  </si>
  <si>
    <t xml:space="preserve"> $("#txt_bm_name");</t>
  </si>
  <si>
    <t xml:space="preserve"> ctrl_txt_bm_name </t>
  </si>
  <si>
    <t xml:space="preserve"> $("#txt_staff_name");</t>
  </si>
  <si>
    <t xml:space="preserve"> ctrl_txt_staff_name </t>
  </si>
  <si>
    <t xml:space="preserve"> $("#txt_staff_id");</t>
  </si>
  <si>
    <t xml:space="preserve"> ctrl_txt_staff_id </t>
  </si>
  <si>
    <t xml:space="preserve"> $("#sel_budgettype_name");</t>
  </si>
  <si>
    <t xml:space="preserve"> ctrl_sel_budgettype_name </t>
  </si>
  <si>
    <t xml:space="preserve"> $("#sel_orderprob_name");</t>
  </si>
  <si>
    <t xml:space="preserve"> ctrl_sel_orderprob_name </t>
  </si>
  <si>
    <t xml:space="preserve"> $("#sel_sale_order_month");</t>
  </si>
  <si>
    <t xml:space="preserve"> ctrl_sel_sale_order_month </t>
  </si>
  <si>
    <t xml:space="preserve"> $("#sel_sale_order_year");</t>
  </si>
  <si>
    <t xml:space="preserve"> ctrl_sel_sale_order_year </t>
  </si>
  <si>
    <t xml:space="preserve"> $("#sel_ordertype_name");</t>
  </si>
  <si>
    <t xml:space="preserve"> ctrl_sel_ordertype_name </t>
  </si>
  <si>
    <t xml:space="preserve"> $("#txt_sale_estimate_in");</t>
  </si>
  <si>
    <t xml:space="preserve"> ctrl_txt_sale_estimate_in </t>
  </si>
  <si>
    <t xml:space="preserve"> $("#sel_orderstate_name");</t>
  </si>
  <si>
    <t xml:space="preserve"> ctrl_sel_orderstate_name </t>
  </si>
  <si>
    <t xml:space="preserve"> $("#sel_custstate_name");</t>
  </si>
  <si>
    <t xml:space="preserve"> ctrl_sel_custstate_name </t>
  </si>
  <si>
    <t xml:space="preserve"> $("#txt_sale_total_price");</t>
  </si>
  <si>
    <t xml:space="preserve"> ctrl_txt_sale_total_price </t>
  </si>
  <si>
    <t xml:space="preserve"> $("#txt_sale_qty");</t>
  </si>
  <si>
    <t xml:space="preserve"> ctrl_txt_sale_qty </t>
  </si>
  <si>
    <t xml:space="preserve"> $("#txt_sale_unit_price");</t>
  </si>
  <si>
    <t xml:space="preserve"> ctrl_txt_sale_unit_price </t>
  </si>
  <si>
    <t xml:space="preserve"> $("#sel_sale_product_model_name");</t>
  </si>
  <si>
    <t xml:space="preserve"> ctrl_sel_sale_product_model_name </t>
  </si>
  <si>
    <t xml:space="preserve"> $("# txt_sale_id");</t>
  </si>
  <si>
    <t xml:space="preserve"> ctrl_txt_sale_id</t>
  </si>
  <si>
    <t xml:space="preserve"> $("#sel_product_name");</t>
  </si>
  <si>
    <t xml:space="preserve"> ctrl_sel_product_name </t>
  </si>
  <si>
    <t xml:space="preserve"> $("#sel_brand_name");</t>
  </si>
  <si>
    <t xml:space="preserve"> ctrl_sel_brand_name </t>
  </si>
  <si>
    <t xml:space="preserve"> $("#txt_sale_department");</t>
  </si>
  <si>
    <t xml:space="preserve"> ctrl_txt_txt_sale_department </t>
  </si>
  <si>
    <t xml:space="preserve"> $("#txt_sale_hospital");</t>
  </si>
  <si>
    <t xml:space="preserve"> ctrl_txt_sale_hospital </t>
  </si>
  <si>
    <t xml:space="preserve"> $("#txt_sale_date");</t>
  </si>
  <si>
    <t xml:space="preserve"> ctrl_txt_sale_date </t>
  </si>
  <si>
    <t>CTRL_VARIABLE</t>
  </si>
  <si>
    <t>JQUERY</t>
  </si>
  <si>
    <t>dim</t>
  </si>
  <si>
    <t>as string</t>
  </si>
  <si>
    <t>-</t>
  </si>
  <si>
    <t>วิโรจน์ วสุศุทธิกุลกานต์</t>
  </si>
  <si>
    <t>โต</t>
  </si>
  <si>
    <t>L0</t>
  </si>
  <si>
    <t>CORPORATE</t>
  </si>
  <si>
    <t>MD</t>
  </si>
  <si>
    <t>ฐิติรัตน์ ตางาม</t>
  </si>
  <si>
    <t>ปอ</t>
  </si>
  <si>
    <t>L1</t>
  </si>
  <si>
    <t>ธเนส ภูมิสุราษฎร์</t>
  </si>
  <si>
    <t>โอ๋</t>
  </si>
  <si>
    <t>วุฒิชัย สุนทรานนท์</t>
  </si>
  <si>
    <t>บอส</t>
  </si>
  <si>
    <t>L2</t>
  </si>
  <si>
    <t>BM1</t>
  </si>
  <si>
    <t>สันต์ เบ็ญจกาญจน์</t>
  </si>
  <si>
    <t>หนุ่ม</t>
  </si>
  <si>
    <t>AM1</t>
  </si>
  <si>
    <t>เฉลิมลักษณ์ รักษ์อารีกุล</t>
  </si>
  <si>
    <t>เอส</t>
  </si>
  <si>
    <t>AM2</t>
  </si>
  <si>
    <t>ปรีชา แก้ววิชิต</t>
  </si>
  <si>
    <t>ป๋าชา</t>
  </si>
  <si>
    <t>AM3</t>
  </si>
  <si>
    <t>มนตรี รายพิมาย</t>
  </si>
  <si>
    <t>ต้น</t>
  </si>
  <si>
    <t>AM4</t>
  </si>
  <si>
    <t>ศิริลักษณ์ ศุภวัฒน์ภิญโญ</t>
  </si>
  <si>
    <t>ลักษณ์</t>
  </si>
  <si>
    <t>AM5</t>
  </si>
  <si>
    <t>ทิวาพร คาดีวี</t>
  </si>
  <si>
    <t>อร</t>
  </si>
  <si>
    <t>BM2</t>
  </si>
  <si>
    <t>กรกิจ โพธิ์สวัสดิ์</t>
  </si>
  <si>
    <t>อู๋</t>
  </si>
  <si>
    <t>AM6</t>
  </si>
  <si>
    <t>อดิศร คำภาทู</t>
  </si>
  <si>
    <t>ศร</t>
  </si>
  <si>
    <t>BM3</t>
  </si>
  <si>
    <t>อัญชรี ทีหอคำ</t>
  </si>
  <si>
    <t>อ้น</t>
  </si>
  <si>
    <t>BM4</t>
  </si>
  <si>
    <t>สุภาวิณี แย้มสุวรรณา</t>
  </si>
  <si>
    <t>มิ้ว</t>
  </si>
  <si>
    <t>BM5</t>
  </si>
  <si>
    <t>กชกร ดวงบุญ</t>
  </si>
  <si>
    <t>นุ่น</t>
  </si>
  <si>
    <t>BM6</t>
  </si>
  <si>
    <t>กัญญ์วรา เลิศศุภวิทย์นภา</t>
  </si>
  <si>
    <t>เอื้อ</t>
  </si>
  <si>
    <t>BM7</t>
  </si>
  <si>
    <t>ศุภวัฒน์ จิรประเสริฐสม</t>
  </si>
  <si>
    <t>313001_2</t>
  </si>
  <si>
    <t>ฐิติรัตน์2 ตางาม</t>
  </si>
  <si>
    <t>AM7</t>
  </si>
  <si>
    <t>สาวิณี แซ่เฮ้ง</t>
  </si>
  <si>
    <t>รัตน์</t>
  </si>
  <si>
    <t>L3</t>
  </si>
  <si>
    <t>โชติรส ดินดำ</t>
  </si>
  <si>
    <t>แอ้</t>
  </si>
  <si>
    <t>ธีรศิษฏ์ ปลิวมา</t>
  </si>
  <si>
    <t>สิท</t>
  </si>
  <si>
    <t>นลชนัท ศรีนาค</t>
  </si>
  <si>
    <t>อ้อม</t>
  </si>
  <si>
    <t>ศิริพร กนกภูมิรุจา</t>
  </si>
  <si>
    <t>หญิง</t>
  </si>
  <si>
    <t>ฐานิตา บุญรอด</t>
  </si>
  <si>
    <t>ต้อง</t>
  </si>
  <si>
    <t>พีรนิตย์ ประณุทนรพาล</t>
  </si>
  <si>
    <t>พั้นซ์</t>
  </si>
  <si>
    <t>นุรอาบีดิน มะรานอ</t>
  </si>
  <si>
    <t>นุ</t>
  </si>
  <si>
    <t>ปิยรัฎฐ์ สร้อยสุวรรณ</t>
  </si>
  <si>
    <t>ลูกน้ำ</t>
  </si>
  <si>
    <t>ขวัญใจ ใจภิภักดิ์</t>
  </si>
  <si>
    <t>ขวัญ</t>
  </si>
  <si>
    <t>ปถวี วรรธนะภูติ</t>
  </si>
  <si>
    <t>โอ</t>
  </si>
  <si>
    <t>ปรียานุช โตเหมือน</t>
  </si>
  <si>
    <t>จิงจิง</t>
  </si>
  <si>
    <t>โชคชัย รัตนพิมาน</t>
  </si>
  <si>
    <t>บิ๊ก</t>
  </si>
  <si>
    <t>ลลิตภัทร คำภักดี</t>
  </si>
  <si>
    <t>ตาล</t>
  </si>
  <si>
    <t>อภิชาติ อัศวยิ่งเจริญ</t>
  </si>
  <si>
    <t>บิว</t>
  </si>
  <si>
    <t>วาสินี สุขสาสนี</t>
  </si>
  <si>
    <t>โบว์</t>
  </si>
  <si>
    <t>ญาณิณ อภัยสูงเนิน</t>
  </si>
  <si>
    <t>เจี๊ยบ</t>
  </si>
  <si>
    <t>อภิสรณ์ ทองชัย</t>
  </si>
  <si>
    <t>เชน</t>
  </si>
  <si>
    <t>อัจฉรา มณเฑียร</t>
  </si>
  <si>
    <t>นิว</t>
  </si>
  <si>
    <t>ณัฐกฤตา อุ่นใจ</t>
  </si>
  <si>
    <t>อุ๋ม</t>
  </si>
  <si>
    <t>ฏติเลิศ ถนอมรัตนกุล</t>
  </si>
  <si>
    <t>เฟิร์ส</t>
  </si>
  <si>
    <t>เนติวัฒน์ ใจซื่อ</t>
  </si>
  <si>
    <t>ปอนด์</t>
  </si>
  <si>
    <t>มนัสสิริ ทองเกียว</t>
  </si>
  <si>
    <t>ศรีประภา ธนหิรัญทรัพย์</t>
  </si>
  <si>
    <t>มิงค์</t>
  </si>
  <si>
    <t>อริศรา เรนแก้ว</t>
  </si>
  <si>
    <t>คาบิว</t>
  </si>
  <si>
    <t>ศรัณย์พงศ์ ศานติบูรณ์</t>
  </si>
  <si>
    <t>แนต</t>
  </si>
  <si>
    <t>ณภัทรชรีย์ รุจิยรัสย์</t>
  </si>
  <si>
    <t>ก้อย</t>
  </si>
  <si>
    <t>เสาร์วภา โคตุทา</t>
  </si>
  <si>
    <t>นิด</t>
  </si>
  <si>
    <t>สวรรยา เลขมาศ</t>
  </si>
  <si>
    <t>เดียร์</t>
  </si>
  <si>
    <t>ธัญญาภรณ์ ปานทอง</t>
  </si>
  <si>
    <t>อ๊อด</t>
  </si>
  <si>
    <t>L4</t>
  </si>
  <si>
    <t>นิศารัตน์ เถื่อนสุวรรณ์</t>
  </si>
  <si>
    <t>กฤษ</t>
  </si>
  <si>
    <t>ภาณิกา สัจจะบุตร</t>
  </si>
  <si>
    <t>กา</t>
  </si>
  <si>
    <t>กิตติยา ศุกระกาญจนะ</t>
  </si>
  <si>
    <t>แดม</t>
  </si>
  <si>
    <t>จินตนา พิสุทธิสกุล</t>
  </si>
  <si>
    <t>จิน</t>
  </si>
  <si>
    <t>ธันยาภัทร์ วรโชติรัตนวงศ์</t>
  </si>
  <si>
    <t>แอม</t>
  </si>
  <si>
    <t>ธิดารัตน์ ทาน้อย</t>
  </si>
  <si>
    <t>ผึ้ง</t>
  </si>
  <si>
    <t>สุพัตรา กล่อมดี</t>
  </si>
  <si>
    <t>แนน</t>
  </si>
  <si>
    <t>สมใจ เพ็งผล</t>
  </si>
  <si>
    <t>ปุ้ย</t>
  </si>
  <si>
    <t>AM7.4</t>
  </si>
  <si>
    <t>314022_2</t>
  </si>
  <si>
    <t>ศิริพร2 กนกภูมิรุจา</t>
  </si>
  <si>
    <t>พิชชาอร ขาวผ่อง</t>
  </si>
  <si>
    <t>แพรว</t>
  </si>
  <si>
    <t>L5</t>
  </si>
  <si>
    <t>AM7.3</t>
  </si>
  <si>
    <t>วิชชุดา ศากรณ์</t>
  </si>
  <si>
    <t>นฤมล อ่อนอรุณ</t>
  </si>
  <si>
    <t>อุ้ม</t>
  </si>
  <si>
    <t>AM7.2</t>
  </si>
  <si>
    <t>พิชญ์ศราการณ์ สุทธิสนธิ์</t>
  </si>
  <si>
    <t>ฟ้า</t>
  </si>
  <si>
    <t>ชัยพร ไตรกลิ่น</t>
  </si>
  <si>
    <t>สินีนาฎ บัวทัน</t>
  </si>
  <si>
    <t>มะปราง</t>
  </si>
  <si>
    <t>ธนัญภัค เลอลาศ</t>
  </si>
  <si>
    <t>เพล์</t>
  </si>
  <si>
    <t>ฐิติรัตน์ เพ็ญสุข</t>
  </si>
  <si>
    <t>ตูน</t>
  </si>
  <si>
    <t>ยุพารัตน์ โสภีพจน์</t>
  </si>
  <si>
    <t>ลักษิกา​ บุญทอง​</t>
  </si>
  <si>
    <t>ต้นหลิว</t>
  </si>
  <si>
    <t>สุภารวี แย้มนิยม</t>
  </si>
  <si>
    <t>ปูเป้</t>
  </si>
  <si>
    <t>AM9</t>
  </si>
  <si>
    <t>ภารดี สอนเสริม</t>
  </si>
  <si>
    <t>โอปอ</t>
  </si>
  <si>
    <t>เสาวลักษณ์ ใจอยู่</t>
  </si>
  <si>
    <t>บลู</t>
  </si>
  <si>
    <t>314001_2</t>
  </si>
  <si>
    <t>ธเนส2 ภูมิสุราษฎร์</t>
  </si>
  <si>
    <t>กัญญาวรรณ เหลืองภักดี</t>
  </si>
  <si>
    <t>ใบเตย</t>
  </si>
  <si>
    <t>พรรณทิพย์ สุทธาเวศ</t>
  </si>
  <si>
    <t>ปูุ๋ย</t>
  </si>
  <si>
    <t>สิทธิชัย คำเพชรดี</t>
  </si>
  <si>
    <t>บอย</t>
  </si>
  <si>
    <t>พัสวี รอดลอยทุกข์</t>
  </si>
  <si>
    <t>ปิ่น</t>
  </si>
  <si>
    <t>วันนิสา เจริญศิริกาญจน์</t>
  </si>
  <si>
    <t>วัน</t>
  </si>
  <si>
    <t>พงษ์เทพ พัทยากร</t>
  </si>
  <si>
    <t>โจ้</t>
  </si>
  <si>
    <t>พิชยา สุรพิพิธ</t>
  </si>
  <si>
    <t>อิม</t>
  </si>
  <si>
    <t>313041_2</t>
  </si>
  <si>
    <t>จินตนา2 พิสุทธิสกุล</t>
  </si>
  <si>
    <t>313042_2</t>
  </si>
  <si>
    <t>ธันยาภัทร์2 วรโชติรัตนวงศ์</t>
  </si>
  <si>
    <t>314002_2</t>
  </si>
  <si>
    <t>วุฒิชัย2 สุนทรานนท์</t>
  </si>
  <si>
    <t>314008_2</t>
  </si>
  <si>
    <t>ศิริลักษณ์2 ศุภวัฒน์ภิญโญ</t>
  </si>
  <si>
    <t>207008_2</t>
  </si>
  <si>
    <t>สุภารวี2 แย้มนิยม</t>
  </si>
  <si>
    <t>314113_2</t>
  </si>
  <si>
    <t>กชกร2 ดวงบุญ</t>
  </si>
  <si>
    <t>314112_2</t>
  </si>
  <si>
    <t>สุภาวิณี2 แย้มสุวรรณา</t>
  </si>
  <si>
    <t>314116_2</t>
  </si>
  <si>
    <t>กัญญ์วรา2 เลิศศุภวิทย์นภา</t>
  </si>
  <si>
    <t>นัชชา​ ชื่นชม​</t>
  </si>
  <si>
    <t>ฝน</t>
  </si>
  <si>
    <t>ปพิชญา แก้วดอนดู่</t>
  </si>
  <si>
    <t>โย</t>
  </si>
  <si>
    <t>STAFF</t>
  </si>
  <si>
    <t>NAME</t>
  </si>
  <si>
    <t>NICK_NAME</t>
  </si>
  <si>
    <t>LEVEL</t>
  </si>
  <si>
    <t>TYPE</t>
  </si>
  <si>
    <t>TYPES</t>
  </si>
  <si>
    <t>BOSSID</t>
  </si>
  <si>
    <t>BOSS NAME</t>
  </si>
  <si>
    <t>ALL</t>
  </si>
  <si>
    <t>Thailand</t>
  </si>
  <si>
    <t>viroj2516@gmail.com</t>
  </si>
  <si>
    <t>opor6655@gmail.com</t>
  </si>
  <si>
    <t>tanetoh@gmail.com</t>
  </si>
  <si>
    <t>BRAND</t>
  </si>
  <si>
    <t>THAILAND</t>
  </si>
  <si>
    <t>saintmed.ws@gmail.com</t>
  </si>
  <si>
    <t>GROUP1</t>
  </si>
  <si>
    <t>South</t>
  </si>
  <si>
    <t>san.st.med@gmail.com</t>
  </si>
  <si>
    <t>Bangkok</t>
  </si>
  <si>
    <t>chalermluck741@gmail.com</t>
  </si>
  <si>
    <t>North East</t>
  </si>
  <si>
    <t>pkpk2412@gmail.com</t>
  </si>
  <si>
    <t>Central</t>
  </si>
  <si>
    <t>montri.rai@gmail.com</t>
  </si>
  <si>
    <t>North</t>
  </si>
  <si>
    <t>siriluckper@gmail.com</t>
  </si>
  <si>
    <t>tiwaka2522@gmail.com</t>
  </si>
  <si>
    <t>Under North</t>
  </si>
  <si>
    <t>koragit.potsawat@gmail.com</t>
  </si>
  <si>
    <t>adisorn5452@gmail.com</t>
  </si>
  <si>
    <t>ancharee.teehokun@gmail.com</t>
  </si>
  <si>
    <t>suphavinee.m@gmail.com</t>
  </si>
  <si>
    <t>noon00kotchakorn@gmail.com</t>
  </si>
  <si>
    <t>kanwaralers@gmail.com</t>
  </si>
  <si>
    <t>GROUP2</t>
  </si>
  <si>
    <t>opor66552@gmail.com</t>
  </si>
  <si>
    <t>savinee4600@gmail.com</t>
  </si>
  <si>
    <t>berrychihi@gmail.com</t>
  </si>
  <si>
    <t>theerasit12@gmail.com</t>
  </si>
  <si>
    <t>nolchanat03@gmail.com</t>
  </si>
  <si>
    <t>yoyoying.sp@gmail.com</t>
  </si>
  <si>
    <t>ThanitaBunrod@gmail.com</t>
  </si>
  <si>
    <t>ppunchywork@gmail.com</t>
  </si>
  <si>
    <t>nurabidin95@gmail.com</t>
  </si>
  <si>
    <t>piyaratparamedic@gmail.com</t>
  </si>
  <si>
    <t>khwanjai088@gmail.com</t>
  </si>
  <si>
    <t>patawee.2533@gmail.com</t>
  </si>
  <si>
    <t>preeyanoott@gmail.com</t>
  </si>
  <si>
    <t>chokechai.ratt@gmail.com</t>
  </si>
  <si>
    <t>laliphat.k@gmail.com</t>
  </si>
  <si>
    <t>aporojustbew@gmail.com</t>
  </si>
  <si>
    <t>beow0324@gmail.com</t>
  </si>
  <si>
    <t>yanin.y1999@gmail.com</t>
  </si>
  <si>
    <t>apisorn.4282@gmail.com</t>
  </si>
  <si>
    <t>atchara.montien@gmail.com</t>
  </si>
  <si>
    <t>ounjai.nia@gmail.com</t>
  </si>
  <si>
    <t>azachin18@gmail.com</t>
  </si>
  <si>
    <t>netiwat1150@gmail.com</t>
  </si>
  <si>
    <t>khunnew1610@gmail.com</t>
  </si>
  <si>
    <t>t.sripra@gmail.com</t>
  </si>
  <si>
    <t>kabiw.bb.bb@gmail.com</t>
  </si>
  <si>
    <t>santiboon11@gmail.com</t>
  </si>
  <si>
    <t>napatcharee.koii@gmail.com</t>
  </si>
  <si>
    <t>nittasaowapa@gmail.com</t>
  </si>
  <si>
    <t>deerlakmas@gmail.com</t>
  </si>
  <si>
    <t>tanyata2524@gmail.com</t>
  </si>
  <si>
    <t>kt.mu1998@gmail.com</t>
  </si>
  <si>
    <t>Up Country</t>
  </si>
  <si>
    <t>ka.kong79@gmail.com</t>
  </si>
  <si>
    <t>kittiya.su@gmail.com</t>
  </si>
  <si>
    <t>jintana.saintmed@gmail.com</t>
  </si>
  <si>
    <t>w.thunyaphat@gmail.com</t>
  </si>
  <si>
    <t>nam2525pueng@gmail.com</t>
  </si>
  <si>
    <t>nansupattraklo@gmail.com</t>
  </si>
  <si>
    <t>GROUP3</t>
  </si>
  <si>
    <t>somjai.ppui@gmail.com</t>
  </si>
  <si>
    <t>yoyoying.sp2@gmail.com</t>
  </si>
  <si>
    <t>phichaonkp@gmail.com</t>
  </si>
  <si>
    <t>wichuda.23091982@gmail.com</t>
  </si>
  <si>
    <t>naruemononarun@gmail.com​</t>
  </si>
  <si>
    <t>pichsarakarn@gmail.com</t>
  </si>
  <si>
    <t>bigcpap@gmail.com</t>
  </si>
  <si>
    <t>sineenad.maprang@gmail.com</t>
  </si>
  <si>
    <t>sara.play0091@gmail.com​</t>
  </si>
  <si>
    <t>thitiratphensuk9@gmail.com</t>
  </si>
  <si>
    <t>yuparat.so@gmail.com</t>
  </si>
  <si>
    <t>choitonlew@gmail.com</t>
  </si>
  <si>
    <t>supharawee.y@gmail.com</t>
  </si>
  <si>
    <t>paradee.sm@gmail.com</t>
  </si>
  <si>
    <t>bluesaowaluck@gmail.com</t>
  </si>
  <si>
    <t>tanetoh2@gmail.com</t>
  </si>
  <si>
    <t>kanyawanb@gmail.com</t>
  </si>
  <si>
    <t>sutthawetpanthip@gmail.com</t>
  </si>
  <si>
    <t>thesittichai@gmail.com</t>
  </si>
  <si>
    <t>patsawee0621@gmail.com</t>
  </si>
  <si>
    <t>wannisa8885@gmail.com</t>
  </si>
  <si>
    <t>joepongtep@gmail.com</t>
  </si>
  <si>
    <t>pichaya.surapipit@gmail.com</t>
  </si>
  <si>
    <t>jintana.saintmed2@gmail.com</t>
  </si>
  <si>
    <t>saintmed.ws2@gmail.com</t>
  </si>
  <si>
    <t>siriluckper2@gmail.com</t>
  </si>
  <si>
    <t>supharawee.y2@gmail.com</t>
  </si>
  <si>
    <t>noon00kotchakorn2@gmail.com</t>
  </si>
  <si>
    <t>suphavinee.m2@gmail.com</t>
  </si>
  <si>
    <t>kanwaralers2@gmail.com</t>
  </si>
  <si>
    <t>Namfon.jc19@gmail.com</t>
  </si>
  <si>
    <t>Papichaya.keawdondu@gmail.com</t>
  </si>
  <si>
    <t>yosoloxx@gmail.com</t>
  </si>
  <si>
    <t>Column1</t>
  </si>
  <si>
    <t>GROUP</t>
  </si>
  <si>
    <t>AREA</t>
  </si>
  <si>
    <t>EMAIL</t>
  </si>
  <si>
    <t>ST</t>
  </si>
  <si>
    <t>login</t>
  </si>
  <si>
    <t>Pass</t>
  </si>
  <si>
    <t>ยี่ห้อ</t>
  </si>
  <si>
    <t>รุ่น</t>
  </si>
  <si>
    <t>BM Name</t>
  </si>
  <si>
    <t>AOLIKE</t>
  </si>
  <si>
    <t>ICU Bed</t>
  </si>
  <si>
    <t>ALK-BA501EZE</t>
  </si>
  <si>
    <t>Electric Hospital Bed</t>
  </si>
  <si>
    <t>ALK-BA301EZE</t>
  </si>
  <si>
    <t>ALK06-B03P-D</t>
  </si>
  <si>
    <t>ALK06-B329P-D</t>
  </si>
  <si>
    <t>3 Cranks Manual Hospital bed</t>
  </si>
  <si>
    <t>ALK-AA301FZE</t>
  </si>
  <si>
    <t>ALK06-A329P-B</t>
  </si>
  <si>
    <t>ALK06-A328P</t>
  </si>
  <si>
    <t>ALK06-A328L</t>
  </si>
  <si>
    <t>2 Cranks Manual Hospital bed</t>
  </si>
  <si>
    <t>ALK-AA201FBL</t>
  </si>
  <si>
    <t>ALK06-A232P</t>
  </si>
  <si>
    <t>Orthopedics Bed</t>
  </si>
  <si>
    <t>ALK06-A666</t>
  </si>
  <si>
    <t>Emergency Stretcher</t>
  </si>
  <si>
    <t>ALK06-A329Z-B</t>
  </si>
  <si>
    <t>Bedside Cabinet</t>
  </si>
  <si>
    <t>ALK06-AG02</t>
  </si>
  <si>
    <t>ALK06-AG03</t>
  </si>
  <si>
    <t>Overbed</t>
  </si>
  <si>
    <t>ALK06-AT1</t>
  </si>
  <si>
    <t>ALK06-AT3</t>
  </si>
  <si>
    <t>Aurion</t>
  </si>
  <si>
    <t>Emergency Trolley</t>
  </si>
  <si>
    <t>CP/EM4</t>
  </si>
  <si>
    <t>Anesthesia Trolley</t>
  </si>
  <si>
    <t>CP/MED</t>
  </si>
  <si>
    <t>Medication Trolley</t>
  </si>
  <si>
    <t>CP/M30</t>
  </si>
  <si>
    <t>CP/M40</t>
  </si>
  <si>
    <t>Bitmos</t>
  </si>
  <si>
    <t>Sat801</t>
  </si>
  <si>
    <t>Accessorie</t>
  </si>
  <si>
    <t>Brayden</t>
  </si>
  <si>
    <t>CPR Manikin</t>
  </si>
  <si>
    <t>หุ่นแบบมีไฟ</t>
  </si>
  <si>
    <t>หุ่นแบบไม่มีไฟ</t>
  </si>
  <si>
    <t>หุ่น brayden pro</t>
  </si>
  <si>
    <t>EKEAIR</t>
  </si>
  <si>
    <t>Mobile Air Sterilization</t>
  </si>
  <si>
    <t>S1</t>
  </si>
  <si>
    <t>S2</t>
  </si>
  <si>
    <t>S4</t>
  </si>
  <si>
    <t>Freshing Air</t>
  </si>
  <si>
    <t>Mobile Plasma Air</t>
  </si>
  <si>
    <t>HKQ-G-150A-D</t>
  </si>
  <si>
    <t>KJF-Y100</t>
  </si>
  <si>
    <t>Ergoline</t>
  </si>
  <si>
    <t>Cardiac Rehab WorkStation</t>
  </si>
  <si>
    <t>ERS.2</t>
  </si>
  <si>
    <t>จักรยาน(Ergometer)</t>
  </si>
  <si>
    <t>5T</t>
  </si>
  <si>
    <t>ErgoSelect 400</t>
  </si>
  <si>
    <t>ErgoSelect 600</t>
  </si>
  <si>
    <t>SCI FIT(Step One)</t>
  </si>
  <si>
    <t>Geratherm</t>
  </si>
  <si>
    <t>CPET</t>
  </si>
  <si>
    <t>Ergostik</t>
  </si>
  <si>
    <t>Pulmonaray Function Test(PFT)</t>
  </si>
  <si>
    <t>Bodystik</t>
  </si>
  <si>
    <t>Spirometer</t>
  </si>
  <si>
    <t>Spirostik</t>
  </si>
  <si>
    <t>Medistim</t>
  </si>
  <si>
    <t>MiraQ</t>
  </si>
  <si>
    <t>Flow Probe</t>
  </si>
  <si>
    <t>QUINTON</t>
  </si>
  <si>
    <t>EST</t>
  </si>
  <si>
    <t>Q-Stress</t>
  </si>
  <si>
    <t>ชุด Upgrade</t>
  </si>
  <si>
    <t>Suntec</t>
  </si>
  <si>
    <t>BP</t>
  </si>
  <si>
    <t>Cuff</t>
  </si>
  <si>
    <t>Mortara</t>
  </si>
  <si>
    <t>XScribe</t>
  </si>
  <si>
    <t>Treadmill</t>
  </si>
  <si>
    <t>TMX428 Treadmill</t>
  </si>
  <si>
    <t>EKG</t>
  </si>
  <si>
    <t>RScribe</t>
  </si>
  <si>
    <t>CP150</t>
  </si>
  <si>
    <t>หุ่นเด็ก</t>
  </si>
  <si>
    <t>Defibtech</t>
  </si>
  <si>
    <t>Auto CPR</t>
  </si>
  <si>
    <t>LifelineARM</t>
  </si>
  <si>
    <t>Wellife</t>
  </si>
  <si>
    <t>PHI-01</t>
  </si>
  <si>
    <t>HugeMed</t>
  </si>
  <si>
    <t>Video Laryngoscope</t>
  </si>
  <si>
    <t>VL3R</t>
  </si>
  <si>
    <t>Hypnus</t>
  </si>
  <si>
    <t>CPAP</t>
  </si>
  <si>
    <t>Hypnus CPAP</t>
  </si>
  <si>
    <t>BIPAP</t>
  </si>
  <si>
    <t>Hypnus BiPAP</t>
  </si>
  <si>
    <t>IN BCA</t>
  </si>
  <si>
    <t>Face Thermometer</t>
  </si>
  <si>
    <t>Type A</t>
  </si>
  <si>
    <t>Type B</t>
  </si>
  <si>
    <t>Type D</t>
  </si>
  <si>
    <t>Vincent</t>
  </si>
  <si>
    <t>O2FLO High Flow Therapy</t>
  </si>
  <si>
    <t>High Flow ผู้ใหญ่</t>
  </si>
  <si>
    <t>High Flow เด็ก</t>
  </si>
  <si>
    <t>JingDong</t>
  </si>
  <si>
    <t>JD-18</t>
  </si>
  <si>
    <t>Anasthesia trolley</t>
  </si>
  <si>
    <t>JD-81</t>
  </si>
  <si>
    <t>Nursing Trolley</t>
  </si>
  <si>
    <t>JD-2012</t>
  </si>
  <si>
    <t>Jingdong</t>
  </si>
  <si>
    <t>Treatment Trolley</t>
  </si>
  <si>
    <t>JD-2013</t>
  </si>
  <si>
    <t>JosonCare</t>
  </si>
  <si>
    <t>JP-010</t>
  </si>
  <si>
    <t>ES-96HD</t>
  </si>
  <si>
    <t>Jziki</t>
  </si>
  <si>
    <t>Forehead Thermometer</t>
  </si>
  <si>
    <t>JZK-601</t>
  </si>
  <si>
    <t>Lantise</t>
  </si>
  <si>
    <t>Anti-decubistus Mattress</t>
  </si>
  <si>
    <t>CD-003</t>
  </si>
  <si>
    <t>Lifotronic</t>
  </si>
  <si>
    <t>HFCWO</t>
  </si>
  <si>
    <t>PV100</t>
  </si>
  <si>
    <t>PV900</t>
  </si>
  <si>
    <t>ELI 230</t>
  </si>
  <si>
    <t>ELI 250C</t>
  </si>
  <si>
    <t>ELI 280</t>
  </si>
  <si>
    <t>ELI 380</t>
  </si>
  <si>
    <t>Mindray</t>
  </si>
  <si>
    <t>Mindray Surgical</t>
  </si>
  <si>
    <t>UniBase 30</t>
  </si>
  <si>
    <t>HyBase 3000</t>
  </si>
  <si>
    <t>HyBase 6100</t>
  </si>
  <si>
    <t>HyBase 8500</t>
  </si>
  <si>
    <t>HyLED 200M</t>
  </si>
  <si>
    <t>HYLED 200</t>
  </si>
  <si>
    <t>HyLED 200/200</t>
  </si>
  <si>
    <t>HyLED 600M</t>
  </si>
  <si>
    <t>HYLED 600</t>
  </si>
  <si>
    <t>HyLED 600/600</t>
  </si>
  <si>
    <t>HyLED 730M</t>
  </si>
  <si>
    <t>HYLED 730/730</t>
  </si>
  <si>
    <t>HyLED 760/730</t>
  </si>
  <si>
    <t>HyLED 8600/8600</t>
  </si>
  <si>
    <t>HyLED X5/X5</t>
  </si>
  <si>
    <t>HyLED X9/X5</t>
  </si>
  <si>
    <t>SM999</t>
  </si>
  <si>
    <t>Mindray Pump</t>
  </si>
  <si>
    <t>VP5</t>
  </si>
  <si>
    <t>Mindray Ultrasound</t>
  </si>
  <si>
    <t>DC-60</t>
  </si>
  <si>
    <t>DC-60 Exp</t>
  </si>
  <si>
    <t>Mindray Ventilator</t>
  </si>
  <si>
    <t>SV600</t>
  </si>
  <si>
    <t>Mindray Monitor</t>
  </si>
  <si>
    <t>ePM10</t>
  </si>
  <si>
    <t>ePM12</t>
  </si>
  <si>
    <t>ePM 15</t>
  </si>
  <si>
    <t>iMEC 8</t>
  </si>
  <si>
    <t>iMEC10</t>
  </si>
  <si>
    <t>VL3D</t>
  </si>
  <si>
    <t>iMEC12</t>
  </si>
  <si>
    <t>iMEC 15</t>
  </si>
  <si>
    <t>SV300</t>
  </si>
  <si>
    <t>VLRM</t>
  </si>
  <si>
    <t>VLDM</t>
  </si>
  <si>
    <t>Hugemed</t>
  </si>
  <si>
    <t>VL3R HDMI</t>
  </si>
  <si>
    <t>Mindray Defibrillator</t>
  </si>
  <si>
    <t>D3 Sat</t>
  </si>
  <si>
    <t>CMS+ Defibrillator</t>
  </si>
  <si>
    <t>Mindray pendant</t>
  </si>
  <si>
    <t>Hyport3000 Double arm</t>
  </si>
  <si>
    <t>TE7</t>
  </si>
  <si>
    <t>TE7 ACE</t>
  </si>
  <si>
    <t>D3 Sat BP</t>
  </si>
  <si>
    <t>D3 Sat BP CO2</t>
  </si>
  <si>
    <t>VS600</t>
  </si>
  <si>
    <t>N1</t>
  </si>
  <si>
    <t>N12</t>
  </si>
  <si>
    <t>D3 Sat tele</t>
  </si>
  <si>
    <t>Resona7</t>
  </si>
  <si>
    <t>VS900</t>
  </si>
  <si>
    <t>D3 Sat BP tele</t>
  </si>
  <si>
    <t>N15</t>
  </si>
  <si>
    <t>D3 Sat BP CO2 tele</t>
  </si>
  <si>
    <t>PM60</t>
  </si>
  <si>
    <t>Z5</t>
  </si>
  <si>
    <t>SP5</t>
  </si>
  <si>
    <t>E3</t>
  </si>
  <si>
    <t>M9</t>
  </si>
  <si>
    <t>DC-30</t>
  </si>
  <si>
    <t>D6 Sat BP</t>
  </si>
  <si>
    <t>Z6</t>
  </si>
  <si>
    <t>D6 Sat BP 12 lead</t>
  </si>
  <si>
    <t>D6 Sat BP 12 lead CO2(Side)</t>
  </si>
  <si>
    <t>D6 Sat BP 12 lead CO2(main)</t>
  </si>
  <si>
    <t>SV300 covid</t>
  </si>
  <si>
    <t>SV600 Covid</t>
  </si>
  <si>
    <t>D6 Sat BP tele</t>
  </si>
  <si>
    <t>D6 Sat BP 12 lead tele</t>
  </si>
  <si>
    <t>DC-70 Exp</t>
  </si>
  <si>
    <t>D6 Sat BP 12 lead CO2(Side) tele</t>
  </si>
  <si>
    <t>D6 Sat BP 12 lead CO2(main) tele</t>
  </si>
  <si>
    <t>PHIES</t>
  </si>
  <si>
    <t>V track</t>
  </si>
  <si>
    <t>GPS/CCTV</t>
  </si>
  <si>
    <t>กล้องติดรถ</t>
  </si>
  <si>
    <t>BodyCam</t>
  </si>
  <si>
    <t>D1 public</t>
  </si>
  <si>
    <t>D1 public with wifi</t>
  </si>
  <si>
    <t>M9+ Sonostar</t>
  </si>
  <si>
    <t>D1 public with CPR</t>
  </si>
  <si>
    <t>D1 public with CPR, wifi</t>
  </si>
  <si>
    <t>D1 Trainer</t>
  </si>
  <si>
    <t>Skintact</t>
  </si>
  <si>
    <t>Defibrillation Electrode</t>
  </si>
  <si>
    <t>DC-80</t>
  </si>
  <si>
    <t>DC-80X Insight</t>
  </si>
  <si>
    <t>DC-80exp</t>
  </si>
  <si>
    <t>DC-8</t>
  </si>
  <si>
    <t>DC-8exp</t>
  </si>
  <si>
    <t>CMS + ePM</t>
  </si>
  <si>
    <t>DC-70 X-insigth</t>
  </si>
  <si>
    <t>DC-70</t>
  </si>
  <si>
    <t>M9+DC60</t>
  </si>
  <si>
    <t>DC40</t>
  </si>
  <si>
    <t>DC40 Full HD</t>
  </si>
  <si>
    <t>M7</t>
  </si>
  <si>
    <t>DP30</t>
  </si>
  <si>
    <t>Casmed</t>
  </si>
  <si>
    <t>Casmed740</t>
  </si>
  <si>
    <t>HyPort 3000 Single Arm</t>
  </si>
  <si>
    <t>N17</t>
  </si>
  <si>
    <t>CMS+ N Series</t>
  </si>
  <si>
    <t>CMS+ iMec</t>
  </si>
  <si>
    <t>Mindray Etc.</t>
  </si>
  <si>
    <t>N19</t>
  </si>
  <si>
    <t>N22</t>
  </si>
  <si>
    <t>TM80</t>
  </si>
  <si>
    <t>BP10</t>
  </si>
  <si>
    <t>CS5</t>
  </si>
  <si>
    <t>DS5</t>
  </si>
  <si>
    <t>HyPort 6000</t>
  </si>
  <si>
    <t>HyPort 8000</t>
  </si>
  <si>
    <t>HyPort 9000</t>
  </si>
  <si>
    <t>DC-N3</t>
  </si>
  <si>
    <t>MX7</t>
  </si>
  <si>
    <t>MSonic</t>
  </si>
  <si>
    <t>Ultrasound</t>
  </si>
  <si>
    <t>MU1 Series</t>
  </si>
  <si>
    <t>MIS</t>
  </si>
  <si>
    <t>Trauma Stretcher</t>
  </si>
  <si>
    <t>BC410</t>
  </si>
  <si>
    <t>LH630</t>
  </si>
  <si>
    <t>LH610</t>
  </si>
  <si>
    <t>Holter</t>
  </si>
  <si>
    <t>HScribe</t>
  </si>
  <si>
    <t>NewTech</t>
  </si>
  <si>
    <t>Co2 Mornitor</t>
  </si>
  <si>
    <t>NT1D Series</t>
  </si>
  <si>
    <t>H12+</t>
  </si>
  <si>
    <t>H3+</t>
  </si>
  <si>
    <t>USCOM</t>
  </si>
  <si>
    <t>Central BP</t>
  </si>
  <si>
    <t>BP+</t>
  </si>
  <si>
    <t>Raycome</t>
  </si>
  <si>
    <t>Blood Pressure Monitor</t>
  </si>
  <si>
    <t>RBP-1000</t>
  </si>
  <si>
    <t>Resmed</t>
  </si>
  <si>
    <t>Ventilator</t>
  </si>
  <si>
    <t>Astral100</t>
  </si>
  <si>
    <t>Astral150</t>
  </si>
  <si>
    <t>Stellar100</t>
  </si>
  <si>
    <t>Stellar150</t>
  </si>
  <si>
    <t>ResMed</t>
  </si>
  <si>
    <t>Lumis100</t>
  </si>
  <si>
    <t>Lumis150</t>
  </si>
  <si>
    <t>AirSense10 Auto Set</t>
  </si>
  <si>
    <t>AirSense10 Auto For HER</t>
  </si>
  <si>
    <t>AirMINI</t>
  </si>
  <si>
    <t>Aircurve10V Auto</t>
  </si>
  <si>
    <t>AirSense10 Elite</t>
  </si>
  <si>
    <t>AirStart10 APAP</t>
  </si>
  <si>
    <t>SeeSheen</t>
  </si>
  <si>
    <t>Flexible Video Endoscope</t>
  </si>
  <si>
    <t>QG-2138</t>
  </si>
  <si>
    <t>QG-2128</t>
  </si>
  <si>
    <t>QG-2152</t>
  </si>
  <si>
    <t>QG-3048</t>
  </si>
  <si>
    <t>QG-3052</t>
  </si>
  <si>
    <t>QG-3032</t>
  </si>
  <si>
    <t>Bronchoscope</t>
  </si>
  <si>
    <t>QG-3490</t>
  </si>
  <si>
    <t>QG-3580</t>
  </si>
  <si>
    <t>QG-3320</t>
  </si>
  <si>
    <t>QG-3430</t>
  </si>
  <si>
    <t>Flexible Video Rhinolaryngoscope</t>
  </si>
  <si>
    <t>EN-1039</t>
  </si>
  <si>
    <t>EN-1029</t>
  </si>
  <si>
    <t>EN-1249</t>
  </si>
  <si>
    <t>Flexible Video Ureterorenoscope</t>
  </si>
  <si>
    <t>UR-1331</t>
  </si>
  <si>
    <t>Flexible Video Cytonephroscope</t>
  </si>
  <si>
    <t>UR-1355</t>
  </si>
  <si>
    <t>UR-1356</t>
  </si>
  <si>
    <t>Image Processor</t>
  </si>
  <si>
    <t>CV-1030</t>
  </si>
  <si>
    <t>CV-1080</t>
  </si>
  <si>
    <t>sentec</t>
  </si>
  <si>
    <t>Sentec</t>
  </si>
  <si>
    <t>Accessories</t>
  </si>
  <si>
    <t>Somnomedics</t>
  </si>
  <si>
    <t>Sonka</t>
  </si>
  <si>
    <t>BMI</t>
  </si>
  <si>
    <t>SK-X60</t>
  </si>
  <si>
    <t>SK-X80T</t>
  </si>
  <si>
    <t>SK-L08</t>
  </si>
  <si>
    <t>SK-V9</t>
  </si>
  <si>
    <t>SK-L08+Raycome</t>
  </si>
  <si>
    <t>SK-X60HD</t>
  </si>
  <si>
    <t>SonoStar</t>
  </si>
  <si>
    <t>C5D</t>
  </si>
  <si>
    <t>Sonostar</t>
  </si>
  <si>
    <t>C5C</t>
  </si>
  <si>
    <t>Deltex</t>
  </si>
  <si>
    <t>ODM Deltex</t>
  </si>
  <si>
    <t>Viatom</t>
  </si>
  <si>
    <t>Health Monitor</t>
  </si>
  <si>
    <t>Checkme Pro</t>
  </si>
  <si>
    <t>Checkme Pro+AirBP</t>
  </si>
  <si>
    <t>ชุดเครื่องวัดสัญญาณชีพผู้ป่วยแบบพกพา</t>
  </si>
  <si>
    <t>Air BP</t>
  </si>
  <si>
    <t>Checkme Lite</t>
  </si>
  <si>
    <t>ECG/EKG Monitor</t>
  </si>
  <si>
    <t>Visual Beat</t>
  </si>
  <si>
    <t>DuoEK</t>
  </si>
  <si>
    <t>ชุดตรวจเช็คสุขภาพเบื้องต้นของกลุ่มผู้ป่วยโรค NCDs</t>
  </si>
  <si>
    <t>ICARELIFE</t>
  </si>
  <si>
    <t>Powered Air Purifing Respirator</t>
  </si>
  <si>
    <t>PAPR</t>
  </si>
  <si>
    <t>Vivolight</t>
  </si>
  <si>
    <t>Ven Fider</t>
  </si>
  <si>
    <t>Vivo 500</t>
  </si>
  <si>
    <t>Welch Allyn</t>
  </si>
  <si>
    <t>Laryngoscope</t>
  </si>
  <si>
    <t>Laryngoscope Set LED</t>
  </si>
  <si>
    <t>Standart E-Mac Case</t>
  </si>
  <si>
    <t>Diagnostic Set</t>
  </si>
  <si>
    <t>ชุด1 97150-BI</t>
  </si>
  <si>
    <t>ชุด2 97170-BI</t>
  </si>
  <si>
    <t>ชุด3 071250-BI</t>
  </si>
  <si>
    <t>ชุด4 97250-BIL</t>
  </si>
  <si>
    <t>ชุุด5</t>
  </si>
  <si>
    <t>ชุด6</t>
  </si>
  <si>
    <t>ชุด7</t>
  </si>
  <si>
    <t>Miller Blade</t>
  </si>
  <si>
    <t>Green Series</t>
  </si>
  <si>
    <t>Exam Light IV</t>
  </si>
  <si>
    <t>MacIntosh Blade</t>
  </si>
  <si>
    <t>GS300</t>
  </si>
  <si>
    <t>GS600</t>
  </si>
  <si>
    <t>Handel</t>
  </si>
  <si>
    <t>Accessorice</t>
  </si>
  <si>
    <t>Ophthalmoscope</t>
  </si>
  <si>
    <t>Spot Vision Screener</t>
  </si>
  <si>
    <t>VS-100S</t>
  </si>
  <si>
    <t>11720-L</t>
  </si>
  <si>
    <t>11820-L MacroView</t>
  </si>
  <si>
    <t>Otoscope</t>
  </si>
  <si>
    <t>20000-L</t>
  </si>
  <si>
    <t>23810-L</t>
  </si>
  <si>
    <t>412851 Hard Case</t>
  </si>
  <si>
    <t>BP Aneriod</t>
  </si>
  <si>
    <t>Mobile Aneroid</t>
  </si>
  <si>
    <t>Wall Aneroid</t>
  </si>
  <si>
    <t>Desk Gage</t>
  </si>
  <si>
    <t>Hand Aneroid</t>
  </si>
  <si>
    <t>Harvery DLX, Triple Head</t>
  </si>
  <si>
    <t>Harvery DLX, Double Head</t>
  </si>
  <si>
    <t>Professional Adult Stethoscope</t>
  </si>
  <si>
    <t>Professional Pediatric Stethoscope</t>
  </si>
  <si>
    <t>Green series</t>
  </si>
  <si>
    <t>GS900</t>
  </si>
  <si>
    <t>ธเนส ภูมิสุราษฎร์2</t>
  </si>
  <si>
    <t>Zoll</t>
  </si>
  <si>
    <t>Auto Pulse</t>
  </si>
  <si>
    <t>DC60</t>
  </si>
  <si>
    <t>Electric Bed</t>
  </si>
  <si>
    <t>D3 full</t>
  </si>
  <si>
    <t>Lifeline Arm</t>
  </si>
  <si>
    <t>Quinton</t>
  </si>
  <si>
    <t>Holtor</t>
  </si>
  <si>
    <t>GS600 Moblie</t>
  </si>
  <si>
    <t>Diagnostic set #97170</t>
  </si>
  <si>
    <t>ePM12+Central</t>
  </si>
  <si>
    <t>VP5+Cantral 2วง</t>
  </si>
  <si>
    <t>D3</t>
  </si>
  <si>
    <t>D1</t>
  </si>
  <si>
    <t>ePM15</t>
  </si>
  <si>
    <t>EKG 250c motara</t>
  </si>
  <si>
    <t>D3 std+NIBP</t>
  </si>
  <si>
    <t>PM-60</t>
  </si>
  <si>
    <t>EKG 280</t>
  </si>
  <si>
    <t>D3 EtCO2</t>
  </si>
  <si>
    <t>ELI250c</t>
  </si>
  <si>
    <t>Hyport 3000</t>
  </si>
  <si>
    <t>เครื่องตรวจหู ตา</t>
  </si>
  <si>
    <t>#97150</t>
  </si>
  <si>
    <t>IV Pump</t>
  </si>
  <si>
    <t>AED</t>
  </si>
  <si>
    <t>Manual Hospital bed</t>
  </si>
  <si>
    <t>VS100-C</t>
  </si>
  <si>
    <t>ELI280</t>
  </si>
  <si>
    <t>ePM+Benevision</t>
  </si>
  <si>
    <t>CMS+N12</t>
  </si>
  <si>
    <t>Holter H12+</t>
  </si>
  <si>
    <t>D6+Hypervisor</t>
  </si>
  <si>
    <t>Telemed D6</t>
  </si>
  <si>
    <t>Laryng 4Blade</t>
  </si>
  <si>
    <t>HyPort3000No Arm</t>
  </si>
  <si>
    <t>HyLED X Series</t>
  </si>
  <si>
    <t>VO2Max</t>
  </si>
  <si>
    <t>AirBP</t>
  </si>
  <si>
    <t>CMS+ePM12</t>
  </si>
  <si>
    <t>D3 co2</t>
  </si>
  <si>
    <t>D6</t>
  </si>
  <si>
    <t>HyBase600</t>
  </si>
  <si>
    <t>HyLED730</t>
  </si>
  <si>
    <t>D6+telemed</t>
  </si>
  <si>
    <t>VS900 BP sat temp</t>
  </si>
  <si>
    <t>DC150</t>
  </si>
  <si>
    <t>Astral 150</t>
  </si>
  <si>
    <t>EKG 250 C Burdick</t>
  </si>
  <si>
    <t>OTOSCOPE-OPHTHAL SET</t>
  </si>
  <si>
    <t>D3 Telemed</t>
  </si>
  <si>
    <t>Hyport3000</t>
  </si>
  <si>
    <t>D6 tele</t>
  </si>
  <si>
    <t>CP150 C Dicom</t>
  </si>
  <si>
    <t>Stretcher</t>
  </si>
  <si>
    <t>D6x11 +พร้อมระบบภาพและเสียง</t>
  </si>
  <si>
    <t>Central monitor</t>
  </si>
  <si>
    <t>Seesheen</t>
  </si>
  <si>
    <t>Central Telemed</t>
  </si>
  <si>
    <t>Laryngoscope set LED</t>
  </si>
  <si>
    <t>DC70</t>
  </si>
  <si>
    <t>PM 60</t>
  </si>
  <si>
    <t>Sentec PCO2</t>
  </si>
  <si>
    <t>GS 600</t>
  </si>
  <si>
    <t>Hyport3000 No Arm</t>
  </si>
  <si>
    <t>ELI250</t>
  </si>
  <si>
    <t>ELI250c dicom</t>
  </si>
  <si>
    <t>VS-900</t>
  </si>
  <si>
    <t>VLM</t>
  </si>
  <si>
    <t>O2 FLOW</t>
  </si>
  <si>
    <t>BeneHert</t>
  </si>
  <si>
    <t>O2FLO High Flow Theraphy</t>
  </si>
  <si>
    <t>ชุด4</t>
  </si>
  <si>
    <t>Halogen</t>
  </si>
  <si>
    <t>97259-BIL</t>
  </si>
  <si>
    <t>97250-BIL</t>
  </si>
  <si>
    <t>D6 Telamed</t>
  </si>
  <si>
    <t>97150-BI</t>
  </si>
  <si>
    <t>ชุดตรวจหู ตา</t>
  </si>
  <si>
    <t>Set LED</t>
  </si>
  <si>
    <t>ePM 12</t>
  </si>
  <si>
    <t>Ergostik+Accessorie</t>
  </si>
  <si>
    <t>MiraQ C</t>
  </si>
  <si>
    <t>MiraQ Caraiac</t>
  </si>
  <si>
    <t>ชุดคอมพิวเตอร์พร้อมโปรเเกรมวิเคระห์ผลคลื่นหัวใจไฟฟ้าสำหรับเครื่องบันทึกการทำงานของหัวใจ24 ชั่วโมง</t>
  </si>
  <si>
    <t>เตียงผู้ป่วยสามไกราวสไลด์ ตู้ข้างเตียง เเละถาดคร่อมเตียง</t>
  </si>
  <si>
    <t>Fiber Optic Handle Set LED</t>
  </si>
  <si>
    <t>HyLED760/730</t>
  </si>
  <si>
    <t>DC 60</t>
  </si>
  <si>
    <t>Terumo</t>
  </si>
  <si>
    <t>BP500</t>
  </si>
  <si>
    <t>BP 500</t>
  </si>
  <si>
    <t>ชุด3 97250-BI</t>
  </si>
  <si>
    <t>ePM15 + Co2</t>
  </si>
  <si>
    <t>Hyport 3000 double</t>
  </si>
  <si>
    <t>CMS +D6</t>
  </si>
  <si>
    <t>N1 STD</t>
  </si>
  <si>
    <t>N12 STD</t>
  </si>
  <si>
    <t>CMS +N15</t>
  </si>
  <si>
    <t>Otoscope 97204-VSM</t>
  </si>
  <si>
    <t>Fiber Optic Halogen Handle Set</t>
  </si>
  <si>
    <t>ALk BA301EZE(CR)</t>
  </si>
  <si>
    <t>เตียงไฟฟ้าปีกนก</t>
  </si>
  <si>
    <t>Central N12</t>
  </si>
  <si>
    <t>Monitor</t>
  </si>
  <si>
    <t>T1</t>
  </si>
  <si>
    <t>Telemed</t>
  </si>
  <si>
    <t>Inspired</t>
  </si>
  <si>
    <t>O2FLO</t>
  </si>
  <si>
    <t>เครื่องให้ออกซิเจนด้วยอัตราการไหลสูง</t>
  </si>
  <si>
    <t>เครื่องให้ออกซิเจนด้วยอัตราการไหลสูงสำหรับเด็ก</t>
  </si>
  <si>
    <t>CMS + N12</t>
  </si>
  <si>
    <t>CMS+ 4N12</t>
  </si>
  <si>
    <t>CMS+ 8N12</t>
  </si>
  <si>
    <t>CMS+ Defibrillator tele</t>
  </si>
  <si>
    <t>Hyport3000 Double arm+HyLed200</t>
  </si>
  <si>
    <t>ePM 15+IBP+Co2</t>
  </si>
  <si>
    <t>N15+Co2</t>
  </si>
  <si>
    <t>CMS+ N12</t>
  </si>
  <si>
    <t>CMS + 8ePM+IBP+Co2</t>
  </si>
  <si>
    <t>Defibrillator</t>
  </si>
  <si>
    <t>D6 Telemed+VS900</t>
  </si>
  <si>
    <t>D6 Telemed</t>
  </si>
  <si>
    <t>OR Table for Neurologist</t>
  </si>
  <si>
    <t>D3(1+4)</t>
  </si>
  <si>
    <t>ePM(1+2)</t>
  </si>
  <si>
    <t>ePM12+Central 12เครื่อง</t>
  </si>
  <si>
    <t>Telemetry cardiac</t>
  </si>
  <si>
    <t>CMS+epm+D3</t>
  </si>
  <si>
    <t>N12+IBP+4EtCo2+2EEG+1BIS+1N1</t>
  </si>
  <si>
    <t>DC-40Full HD</t>
  </si>
  <si>
    <t>SK-L08+BP racom</t>
  </si>
  <si>
    <t>LVM</t>
  </si>
  <si>
    <t>เตียงเคลื่อนย้ายผู้ป่วย</t>
  </si>
  <si>
    <t>Emergency cart</t>
  </si>
  <si>
    <t>DC-40 HD</t>
  </si>
  <si>
    <t>Checkme Pro,Checkme Lite, AirBP</t>
  </si>
  <si>
    <t>Checkmr Pro</t>
  </si>
  <si>
    <t>AED Pro</t>
  </si>
  <si>
    <t>HyBase3000</t>
  </si>
  <si>
    <t>ตู้ AEDติดผนัง</t>
  </si>
  <si>
    <t>Central Tele</t>
  </si>
  <si>
    <t>ePM 15 +CMS</t>
  </si>
  <si>
    <t>ePM12+CMS</t>
  </si>
  <si>
    <t>ePM+CMS</t>
  </si>
  <si>
    <t>Opthalmoscope</t>
  </si>
  <si>
    <t>Pan Optic</t>
  </si>
  <si>
    <t>ชุดตรวจติดผนัง</t>
  </si>
  <si>
    <t>777 integrated wall system(77794-4)</t>
  </si>
  <si>
    <t>Otoscope Othalmoscope set</t>
  </si>
  <si>
    <t>OR Table</t>
  </si>
  <si>
    <t>OR Light</t>
  </si>
  <si>
    <t>ePM 10</t>
  </si>
  <si>
    <t>DC-39</t>
  </si>
  <si>
    <t>Burdick</t>
  </si>
  <si>
    <t>ชุด1</t>
  </si>
  <si>
    <t>CMS Benevision</t>
  </si>
  <si>
    <t>H12</t>
  </si>
  <si>
    <t>CMS + e pm</t>
  </si>
  <si>
    <t>SV300 เช่าจำนวน 5 เครื่อง</t>
  </si>
  <si>
    <t>D1 Pro</t>
  </si>
  <si>
    <t>ePM</t>
  </si>
  <si>
    <t>D6 with Co2</t>
  </si>
  <si>
    <t>SV300 เช่าจำนวน 10 เครื่อง</t>
  </si>
  <si>
    <t>iMEC10+CMS</t>
  </si>
  <si>
    <t>H-Scribe</t>
  </si>
  <si>
    <t>LH601/S</t>
  </si>
  <si>
    <t>ALK06-B03PD</t>
  </si>
  <si>
    <t>97800-MLS</t>
  </si>
  <si>
    <t>ALK06-B329ZB</t>
  </si>
  <si>
    <t>D1+ตู้ตั้งพื้น</t>
  </si>
  <si>
    <t>ePM15+N12</t>
  </si>
  <si>
    <t>ePM15+CMS</t>
  </si>
  <si>
    <t>35C50EA</t>
  </si>
  <si>
    <t>otoscope with lihum lon rechargeable</t>
  </si>
  <si>
    <t>Ophthalmoscope set</t>
  </si>
  <si>
    <t>Welch allyn</t>
  </si>
  <si>
    <t>Colledcord and Handle Assembly for wall Transformer</t>
  </si>
  <si>
    <t>97170-BI</t>
  </si>
  <si>
    <t>D3 Full Option IBP+Co2</t>
  </si>
  <si>
    <t>Mortara ELI250c dicom</t>
  </si>
  <si>
    <t>Mortara ELI 250c</t>
  </si>
  <si>
    <t>Professional Diagnostisce set # 97150-Bl</t>
  </si>
  <si>
    <t>3.5V Halogen Ophthalmoscope,LED 3.5V Diagnostic Otoscope set Handle C-cell Battery</t>
  </si>
  <si>
    <t>WA HPX #06500</t>
  </si>
  <si>
    <t>Ear Specula Reuseable 2,3,4,5</t>
  </si>
  <si>
    <t>Replacement Battery for Lithium Ion Handle #71960</t>
  </si>
  <si>
    <t>ชุดที่ 1</t>
  </si>
  <si>
    <t>Exam Light LV Moblie Stand #48812</t>
  </si>
  <si>
    <t>3.5V Coaxial Diagnostic set Handle Ni-cad #97270</t>
  </si>
  <si>
    <t>GS Exam Light IV</t>
  </si>
  <si>
    <t>ชุดที่ 2</t>
  </si>
  <si>
    <t>HyLED100</t>
  </si>
  <si>
    <t>0fes</t>
  </si>
  <si>
    <t>Blades 0.1.3.4</t>
  </si>
  <si>
    <t>mortara</t>
  </si>
  <si>
    <t>CMS+ N12/20</t>
  </si>
  <si>
    <t>Manual Hospital Bed</t>
  </si>
  <si>
    <t>PIH-01</t>
  </si>
  <si>
    <t>BeneVision N1</t>
  </si>
  <si>
    <t>D6 Telemed + CMS</t>
  </si>
  <si>
    <t>ICU 4 motor</t>
  </si>
  <si>
    <t>H Scribe 5</t>
  </si>
  <si>
    <t>HyLED 9700</t>
  </si>
  <si>
    <t>iMEC 10</t>
  </si>
  <si>
    <t>เตียงไฟฟ้า 4 ไก</t>
  </si>
  <si>
    <t>ELi280c</t>
  </si>
  <si>
    <t>DC60 X-Insight</t>
  </si>
  <si>
    <t>Mindray monitor</t>
  </si>
  <si>
    <t>CMS +ePM 15</t>
  </si>
  <si>
    <t>Flow Porbe</t>
  </si>
  <si>
    <t>SV600 Full</t>
  </si>
  <si>
    <t>Brayden Pro</t>
  </si>
  <si>
    <t>MiraQ Vascular</t>
  </si>
  <si>
    <t>ชุดจักรยาน+ECG+BP+SpO2</t>
  </si>
  <si>
    <t>Central+N12/4ตัว</t>
  </si>
  <si>
    <t>Central+N12/8ตัว</t>
  </si>
  <si>
    <t>Central+ePM15/10ตัว</t>
  </si>
  <si>
    <t>Diagnostic set</t>
  </si>
  <si>
    <t>checkme Pro/Air BP/Blood glucose</t>
  </si>
  <si>
    <t>C5D+IPAD</t>
  </si>
  <si>
    <t>ALK06-A328S-E</t>
  </si>
  <si>
    <t>ชุด 5</t>
  </si>
  <si>
    <t>L08+Laycom</t>
  </si>
  <si>
    <t>Exam Light Mobile</t>
  </si>
  <si>
    <t>DC30</t>
  </si>
  <si>
    <t>Hscribe+H12</t>
  </si>
  <si>
    <t>ชุดตรวจหูตา ชุดที่5</t>
  </si>
  <si>
    <t>Otoscope Specula</t>
  </si>
  <si>
    <t>2.75 mm Otoscope Specula #52432-U</t>
  </si>
  <si>
    <t>3 mm Otoscope Specula #52133</t>
  </si>
  <si>
    <t>4 mm Otoscope Specula # 52134</t>
  </si>
  <si>
    <t>4.25 mm Otoscope Specula # 52434-U</t>
  </si>
  <si>
    <t>5 mm Otoscope Specula #52135</t>
  </si>
  <si>
    <t>Hscribe +h3 5 ตัว</t>
  </si>
  <si>
    <t>Ergo select400</t>
  </si>
  <si>
    <t>TMX428 Treadmill+BP</t>
  </si>
  <si>
    <t>ergo400+600</t>
  </si>
  <si>
    <t>Ultrasound port.</t>
  </si>
  <si>
    <t>หัวตรวจV10-4s</t>
  </si>
  <si>
    <t>หัวตรวจC5-2s</t>
  </si>
  <si>
    <t>laryngoscope set</t>
  </si>
  <si>
    <t>L10</t>
  </si>
  <si>
    <t>SCIFIT</t>
  </si>
  <si>
    <t>Nustep</t>
  </si>
  <si>
    <t>Step one</t>
  </si>
  <si>
    <t>ERS2+10ตัวลูก</t>
  </si>
  <si>
    <t>Trackmaster</t>
  </si>
  <si>
    <t>H Scribe</t>
  </si>
  <si>
    <t>H Scribe+H3</t>
  </si>
  <si>
    <t>H3</t>
  </si>
  <si>
    <t>Q-Stress+Ergo select 600</t>
  </si>
  <si>
    <t>ชุดจัดใหม่</t>
  </si>
  <si>
    <t>D3b ธรรมดา</t>
  </si>
  <si>
    <t>CMS+N12 ถึง IBP x10 +_Module EtCO2x1</t>
  </si>
  <si>
    <t>N1 STD+Etco2 micro</t>
  </si>
  <si>
    <t>VS900 - exergen temp</t>
  </si>
  <si>
    <t>CMS+N15+N1IBP</t>
  </si>
  <si>
    <t>CMS+Telemed N17 +D3</t>
  </si>
  <si>
    <t>ePM10"</t>
  </si>
  <si>
    <t>D3 SpO2 NIBP</t>
  </si>
  <si>
    <t>vs900 nibp spo2 temp</t>
  </si>
  <si>
    <t>VS900 Spo2 NIBP</t>
  </si>
  <si>
    <t>Mindray Ventitator</t>
  </si>
  <si>
    <t>ePM12 STD MicroStream</t>
  </si>
  <si>
    <t>D3 SpO2</t>
  </si>
  <si>
    <t>Electrice Bed</t>
  </si>
  <si>
    <t>ALK-BA301EZECPR</t>
  </si>
  <si>
    <t>Hyport 8000 II</t>
  </si>
  <si>
    <t>ALK-BA301EZECR</t>
  </si>
  <si>
    <t>VS900 BP+Sat wifi</t>
  </si>
  <si>
    <t>CMS</t>
  </si>
  <si>
    <t>ePM 12 STD</t>
  </si>
  <si>
    <t>CMS+N17+N1</t>
  </si>
  <si>
    <t>N15 Full</t>
  </si>
  <si>
    <t>ALK BA301EZE</t>
  </si>
  <si>
    <t>Eletric Hospital beds</t>
  </si>
  <si>
    <t>N1 STD MicroStream</t>
  </si>
  <si>
    <t>R-Series</t>
  </si>
  <si>
    <t>Rseries Demo</t>
  </si>
  <si>
    <t>ePM10 6 ตัว +CMS + epm12 2 ตัว</t>
  </si>
  <si>
    <t>Syring</t>
  </si>
  <si>
    <t>Hyport9000</t>
  </si>
  <si>
    <t>ICU bed</t>
  </si>
  <si>
    <t>Sat805</t>
  </si>
  <si>
    <t>EPM12 CMS</t>
  </si>
  <si>
    <t>ePM10 CMS</t>
  </si>
  <si>
    <t>IN-CO1</t>
  </si>
  <si>
    <t>Hospital beds</t>
  </si>
  <si>
    <t>ePM15+Central</t>
  </si>
  <si>
    <t>AED D1</t>
  </si>
  <si>
    <t>แบบติดผนัง</t>
  </si>
  <si>
    <t>mobile</t>
  </si>
  <si>
    <t>N12+N1</t>
  </si>
  <si>
    <t>ePM12 (Co2)</t>
  </si>
  <si>
    <t>ePM12 (IBP)</t>
  </si>
  <si>
    <t>D3 Sat BP (internal Paddle)</t>
  </si>
  <si>
    <t>VHPS</t>
  </si>
  <si>
    <t>Portable</t>
  </si>
  <si>
    <t>Famed</t>
  </si>
  <si>
    <t>BC-410</t>
  </si>
  <si>
    <t>HyBase 6100 plus</t>
  </si>
  <si>
    <t>HyLED X9/X5/X5</t>
  </si>
  <si>
    <t>jingdong</t>
  </si>
  <si>
    <t>jD2013</t>
  </si>
  <si>
    <t>JP010</t>
  </si>
  <si>
    <t>AED trainer</t>
  </si>
  <si>
    <t>Cantral Monitor System</t>
  </si>
  <si>
    <t>iPM 12</t>
  </si>
  <si>
    <t>Hypory 3000 double arm</t>
  </si>
  <si>
    <t>SOMNO HD EEG32</t>
  </si>
  <si>
    <t>probe</t>
  </si>
  <si>
    <t>CMS telamed</t>
  </si>
  <si>
    <t>SOMNO HD</t>
  </si>
  <si>
    <t>otoscope specula</t>
  </si>
  <si>
    <t>otoscope</t>
  </si>
  <si>
    <t>Somnotouch RESP</t>
  </si>
  <si>
    <t>ALK-BA301EZE(R)</t>
  </si>
  <si>
    <t>vs9oo</t>
  </si>
  <si>
    <t>C5D All in one</t>
  </si>
  <si>
    <t>D1+ตู้</t>
  </si>
  <si>
    <t>โคมไฟ</t>
  </si>
  <si>
    <t>Bp monitor</t>
  </si>
  <si>
    <t>Vs900 ต่อระบบ</t>
  </si>
  <si>
    <t>Dc 80</t>
  </si>
  <si>
    <t>CMS+N1+4ชุด</t>
  </si>
  <si>
    <t>Epm12/co2</t>
  </si>
  <si>
    <t>DC70 Xinsigth</t>
  </si>
  <si>
    <t>CMS + ePM /8 เตียง</t>
  </si>
  <si>
    <t>CMS + ePM /4 เตียง</t>
  </si>
  <si>
    <t>inspired</t>
  </si>
  <si>
    <t>high flow therapyoxygen</t>
  </si>
  <si>
    <t>iMac10</t>
  </si>
  <si>
    <t>Larygoscope</t>
  </si>
  <si>
    <t>Larygoscope Set LED</t>
  </si>
  <si>
    <t>N1+Co2</t>
  </si>
  <si>
    <t>QG-3048+QG-3430+QG-2152</t>
  </si>
  <si>
    <t>Stellra150</t>
  </si>
  <si>
    <t>ELI280C Wam</t>
  </si>
  <si>
    <t>somno HD PSG</t>
  </si>
  <si>
    <t>Somno Touch</t>
  </si>
  <si>
    <t>Somno Touch ECO</t>
  </si>
  <si>
    <t>somno HD ECO</t>
  </si>
  <si>
    <t>HyLed X9/X9</t>
  </si>
  <si>
    <t>Vision Scener</t>
  </si>
  <si>
    <t>Set led size C</t>
  </si>
  <si>
    <t>Holer</t>
  </si>
  <si>
    <t>Q-Stress upgrad</t>
  </si>
  <si>
    <t>Single arm</t>
  </si>
  <si>
    <t>Eli280</t>
  </si>
  <si>
    <t>D3full</t>
  </si>
  <si>
    <t>PHI-01+D3 tele</t>
  </si>
  <si>
    <t>Opthalmo</t>
  </si>
  <si>
    <t>Set1</t>
  </si>
  <si>
    <t>D1+ตู้+หุ่น</t>
  </si>
  <si>
    <t>sat1</t>
  </si>
  <si>
    <t>Q- stress</t>
  </si>
  <si>
    <t>CMS +ePM</t>
  </si>
  <si>
    <t>Otoscope pthalmoscope</t>
  </si>
  <si>
    <t>GS777</t>
  </si>
  <si>
    <t>GS Exam</t>
  </si>
  <si>
    <t>ALK06-A329Z-ฺB</t>
  </si>
  <si>
    <t>Row Labels</t>
  </si>
  <si>
    <t>Grand Total</t>
  </si>
  <si>
    <t>EKG 12 Lead</t>
  </si>
  <si>
    <t>(blank)</t>
  </si>
  <si>
    <t>Count of รุ่น</t>
  </si>
  <si>
    <t>Original</t>
  </si>
  <si>
    <t>Product</t>
  </si>
  <si>
    <t>NULL</t>
  </si>
  <si>
    <t xml:space="preserve">ธเนส ภูมิสุราษฎร์ </t>
  </si>
  <si>
    <t>MODEL</t>
  </si>
  <si>
    <t>BRANDID</t>
  </si>
  <si>
    <t>SID</t>
  </si>
  <si>
    <t>D</t>
  </si>
  <si>
    <t>1=1</t>
  </si>
  <si>
    <t>1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</si>
</sst>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AD1D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D96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3" borderId="0" xfId="0" applyFont="1" applyFill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8" borderId="3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 I C E T E C H N O" refreshedDate="44249.884655671296" createdVersion="6" refreshedVersion="6" minRefreshableVersion="3" recordCount="720" xr:uid="{4CAC0131-FDD7-40EB-94A1-8678201012AF}">
  <cacheSource type="worksheet">
    <worksheetSource name="Table3"/>
  </cacheSource>
  <cacheFields count="4">
    <cacheField name="ยี่ห้อ" numFmtId="0">
      <sharedItems count="51">
        <s v="AOLIKE"/>
        <s v="Aurion"/>
        <s v="BeneHert"/>
        <s v="Bitmos"/>
        <s v="Brayden"/>
        <s v="Casmed"/>
        <s v="Defibtech"/>
        <s v="Deltex"/>
        <s v="EKEAIR"/>
        <s v="Ergoline"/>
        <s v="Famed"/>
        <s v="Freshing Air"/>
        <s v="Geratherm"/>
        <s v="HugeMed"/>
        <s v="Hypnus"/>
        <s v="ICARELIFE"/>
        <s v="IN BCA"/>
        <s v="Inspired"/>
        <s v="JingDong"/>
        <s v="JosonCare"/>
        <s v="Jziki"/>
        <s v="Lantise"/>
        <s v="Lifotronic"/>
        <s v="Medistim"/>
        <s v="Mindray"/>
        <s v="MIS"/>
        <s v="Mortara"/>
        <s v="MSonic"/>
        <s v="NewTech"/>
        <s v="QUINTON"/>
        <s v="Raycome"/>
        <s v="Resmed"/>
        <s v="SCIFIT"/>
        <s v="SeeSheen"/>
        <s v="sentec"/>
        <s v="Skintact"/>
        <s v="Somnomedics"/>
        <s v="Sonka"/>
        <s v="SonoStar"/>
        <s v="Suntec"/>
        <s v="Terumo"/>
        <s v="Trackmaster"/>
        <s v="USCOM"/>
        <s v="V track"/>
        <s v="Viatom"/>
        <s v="Vincent"/>
        <s v="Vivolight"/>
        <s v="Welch Allyn"/>
        <s v="Welch allynEKG 12 Lead"/>
        <s v="Wellife"/>
        <s v="Zoll"/>
      </sharedItems>
    </cacheField>
    <cacheField name="สินค้า" numFmtId="0">
      <sharedItems containsBlank="1" count="139">
        <s v="ICU Bed"/>
        <s v="Electric Hospital Bed"/>
        <s v="3 Cranks Manual Hospital bed"/>
        <s v="2 Cranks Manual Hospital bed"/>
        <s v="Orthopedics Bed"/>
        <s v="Emergency Stretcher"/>
        <s v="Bedside Cabinet"/>
        <s v="Overbed"/>
        <s v="ALK06-B03P-D"/>
        <s v="Manual Hospital bed"/>
        <s v="Stretcher"/>
        <s v="ALK06-A329Z-B"/>
        <s v="ALk BA301EZE(CR)"/>
        <s v="ALK-AA201FBL"/>
        <s v="เตียงเคลื่อนย้ายผู้ป่วย"/>
        <s v="Emergency cart"/>
        <s v="ALK06-B03PD"/>
        <s v="ALK06-B329ZB"/>
        <s v="ALK06-A329P-B"/>
        <s v="ALK-BA501EZE"/>
        <s v="เตียงไฟฟ้า 4 ไก"/>
        <s v="AOLIKE"/>
        <s v="ALK06-A328S-E"/>
        <s v="ALK-BA301EZE"/>
        <s v="ALK-AA301FZE"/>
        <s v="Electrice Bed"/>
        <s v="ALK BA301EZE"/>
        <s v="Hospital beds"/>
        <s v="ALK06-AT3"/>
        <s v="ALK-BA301EZE(R)"/>
        <s v="Emergency Trolley"/>
        <s v="Anesthesia Trolley"/>
        <s v="Medication Trolley"/>
        <s v="AED"/>
        <s v="Bitmos"/>
        <s v="CPR Manikin"/>
        <s v="Casmed"/>
        <s v="Auto CPR"/>
        <s v="Deltex"/>
        <s v="Mobile Air Sterilization"/>
        <s v="Cardiac Rehab WorkStation"/>
        <s v="จักรยาน(Ergometer)"/>
        <s v="Ergoline"/>
        <s v="Famed"/>
        <s v="Mobile Plasma Air"/>
        <s v="VHPS"/>
        <s v="CPET"/>
        <s v="Pulmonaray Function Test(PFT)"/>
        <s v="Spirometer"/>
        <s v="Video Laryngoscope"/>
        <s v="CPAP"/>
        <s v="BIPAP"/>
        <s v="Powered Air Purifing Respirator"/>
        <s v="Face Thermometer"/>
        <s v="O2FLO"/>
        <s v="high flow therapyoxygen"/>
        <s v="Anasthesia trolley"/>
        <s v="Nursing Trolley"/>
        <s v="Treatment Trolley"/>
        <s v="Forehead Thermometer"/>
        <s v="Anti-decubistus Mattress"/>
        <s v="HFCWO"/>
        <s v="MiraQ"/>
        <s v="Flow Probe"/>
        <s v="Flow Porbe"/>
        <s v="MiraQ Vascular"/>
        <s v="Mindray Surgical"/>
        <s v="Mindray Pump"/>
        <s v="Mindray Ultrasound"/>
        <s v="Mindray Ventilator"/>
        <s v="Mindray Monitor"/>
        <s v="Mindray Defibrillator"/>
        <s v="Mindray pendant"/>
        <s v="Mindray Etc."/>
        <s v="Monitor"/>
        <s v="Defibrillator"/>
        <s v="PM-60"/>
        <s v="Mindray Ventitator"/>
        <s v="Trauma Stretcher"/>
        <s v="EST"/>
        <s v="Treadmill"/>
        <s v="EKG"/>
        <s v="Holter"/>
        <s v="Burdick"/>
        <s v="Ultrasound"/>
        <s v="Co2 Mornitor"/>
        <s v="Blood Pressure Monitor"/>
        <s v="BMI"/>
        <s v="Ventilator"/>
        <s v="Accessories"/>
        <s v="Resmed"/>
        <s v="Nustep"/>
        <s v="Flexible Video Endoscope"/>
        <s v="Bronchoscope"/>
        <s v="Flexible Video Rhinolaryngoscope"/>
        <s v="Flexible Video Ureterorenoscope"/>
        <s v="Flexible Video Cytonephroscope"/>
        <s v="Image Processor"/>
        <s v="sentec"/>
        <s v="Defibrillation Electrode"/>
        <s v="Somnomedics"/>
        <s v="BP"/>
        <s v="Central BP"/>
        <s v="USCOM"/>
        <s v="GPS/CCTV"/>
        <s v="Health Monitor"/>
        <s v="ECG/EKG Monitor"/>
        <s v="O2FLO High Flow Therapy"/>
        <s v="O2 FLOW"/>
        <s v="O2FLO High Flow Theraphy"/>
        <s v="Ven Fider"/>
        <s v="Laryngoscope"/>
        <s v="Diagnostic Set"/>
        <s v="Green Series"/>
        <s v="Ophthalmoscope"/>
        <s v="Spot Vision Screener"/>
        <s v="Otoscope"/>
        <s v="BP Aneriod"/>
        <s v="GS600 Moblie"/>
        <s v="Laryngoscope set LED"/>
        <s v="GS 600"/>
        <m/>
        <s v="Fiber Optic Handle Set LED"/>
        <s v="Opthalmoscope"/>
        <s v="ชุดตรวจติดผนัง"/>
        <s v="Welch Allyn"/>
        <s v="ชุดตรวจหูตา ชุดที่5"/>
        <s v="Otoscope Specula"/>
        <s v="laryngoscope set"/>
        <s v="โคมไฟ"/>
        <s v="Larygoscope"/>
        <s v="Larygoscope Set LED"/>
        <s v="Vision Scener"/>
        <s v="Opthalmo"/>
        <s v="Otoscope pthalmoscope"/>
        <s v="GS777"/>
        <s v="GS Exam"/>
        <s v="Auto Pulse"/>
        <s v="R-Series"/>
      </sharedItems>
    </cacheField>
    <cacheField name="รุ่น" numFmtId="0">
      <sharedItems containsMixedTypes="1" containsNumber="1" containsInteger="1" minValue="11710" maxValue="23920"/>
    </cacheField>
    <cacheField name="BM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s v="ALK-BA501EZE"/>
    <s v="วุฒิชัย สุนทรานนท์"/>
  </r>
  <r>
    <x v="0"/>
    <x v="1"/>
    <s v="ALK-BA301EZE"/>
    <s v="วุฒิชัย สุนทรานนท์"/>
  </r>
  <r>
    <x v="0"/>
    <x v="1"/>
    <s v="ALK06-B03P-D"/>
    <s v="วุฒิชัย สุนทรานนท์"/>
  </r>
  <r>
    <x v="0"/>
    <x v="1"/>
    <s v="ALK06-B329P-D"/>
    <s v="วุฒิชัย สุนทรานนท์"/>
  </r>
  <r>
    <x v="0"/>
    <x v="2"/>
    <s v="ALK-AA301FZE"/>
    <s v="วุฒิชัย สุนทรานนท์"/>
  </r>
  <r>
    <x v="0"/>
    <x v="2"/>
    <s v="ALK06-A329P-B"/>
    <s v="วุฒิชัย สุนทรานนท์"/>
  </r>
  <r>
    <x v="0"/>
    <x v="2"/>
    <s v="ALK06-A328P"/>
    <s v="วุฒิชัย สุนทรานนท์"/>
  </r>
  <r>
    <x v="0"/>
    <x v="2"/>
    <s v="ALK06-A328L"/>
    <s v="วุฒิชัย สุนทรานนท์"/>
  </r>
  <r>
    <x v="0"/>
    <x v="3"/>
    <s v="ALK-AA201FBL"/>
    <s v="วุฒิชัย สุนทรานนท์"/>
  </r>
  <r>
    <x v="0"/>
    <x v="3"/>
    <s v="ALK06-A232P"/>
    <s v="วุฒิชัย สุนทรานนท์"/>
  </r>
  <r>
    <x v="0"/>
    <x v="4"/>
    <s v="ALK06-A666"/>
    <s v="วุฒิชัย สุนทรานนท์"/>
  </r>
  <r>
    <x v="0"/>
    <x v="5"/>
    <s v="ALK06-A329Z-B"/>
    <s v="วุฒิชัย สุนทรานนท์"/>
  </r>
  <r>
    <x v="0"/>
    <x v="6"/>
    <s v="ALK06-AG02"/>
    <s v="วุฒิชัย สุนทรานนท์"/>
  </r>
  <r>
    <x v="0"/>
    <x v="6"/>
    <s v="ALK06-AG03"/>
    <s v="วุฒิชัย สุนทรานนท์"/>
  </r>
  <r>
    <x v="0"/>
    <x v="7"/>
    <s v="ALK06-AT1"/>
    <s v="วุฒิชัย สุนทรานนท์"/>
  </r>
  <r>
    <x v="0"/>
    <x v="7"/>
    <s v="ALK06-AT3"/>
    <s v="วุฒิชัย สุนทรานนท์"/>
  </r>
  <r>
    <x v="0"/>
    <x v="8"/>
    <s v="Electric Bed"/>
    <s v="วุฒิชัย สุนทรานนท์"/>
  </r>
  <r>
    <x v="0"/>
    <x v="9"/>
    <s v="ALK06-A329Z-B"/>
    <s v="วุฒิชัย สุนทรานนท์"/>
  </r>
  <r>
    <x v="0"/>
    <x v="10"/>
    <s v="ALK06-A329Z-B"/>
    <s v="วุฒิชัย สุนทรานนท์"/>
  </r>
  <r>
    <x v="0"/>
    <x v="8"/>
    <s v="ALK06-B03P-D"/>
    <s v="วุฒิชัย สุนทรานนท์"/>
  </r>
  <r>
    <x v="0"/>
    <x v="11"/>
    <s v="ALK06-A329Z-B"/>
    <s v="วุฒิชัย สุนทรานนท์"/>
  </r>
  <r>
    <x v="0"/>
    <x v="2"/>
    <s v="ALK06-A232P"/>
    <s v="วุฒิชัย สุนทรานนท์"/>
  </r>
  <r>
    <x v="0"/>
    <x v="1"/>
    <s v="เตียงผู้ป่วยสามไกราวสไลด์ ตู้ข้างเตียง เเละถาดคร่อมเตียง"/>
    <s v="วุฒิชัย สุนทรานนท์"/>
  </r>
  <r>
    <x v="0"/>
    <x v="12"/>
    <s v="เตียงไฟฟ้าปีกนก"/>
    <s v="วุฒิชัย สุนทรานนท์"/>
  </r>
  <r>
    <x v="0"/>
    <x v="13"/>
    <s v="ALK-AA201FBL"/>
    <s v="วุฒิชัย สุนทรานนท์"/>
  </r>
  <r>
    <x v="0"/>
    <x v="14"/>
    <s v="ALK06-A329Z-B"/>
    <s v="วุฒิชัย สุนทรานนท์"/>
  </r>
  <r>
    <x v="0"/>
    <x v="15"/>
    <s v="JD-18"/>
    <s v="วุฒิชัย สุนทรานนท์"/>
  </r>
  <r>
    <x v="0"/>
    <x v="16"/>
    <s v="ALK06-B03PD"/>
    <s v="วุฒิชัย สุนทรานนท์"/>
  </r>
  <r>
    <x v="0"/>
    <x v="17"/>
    <s v="ALK06-B329ZB"/>
    <s v="วุฒิชัย สุนทรานนท์"/>
  </r>
  <r>
    <x v="0"/>
    <x v="18"/>
    <s v="Manual Hospital Bed"/>
    <s v="วุฒิชัย สุนทรานนท์"/>
  </r>
  <r>
    <x v="0"/>
    <x v="19"/>
    <s v="ICU 4 motor"/>
    <s v="วุฒิชัย สุนทรานนท์"/>
  </r>
  <r>
    <x v="0"/>
    <x v="20"/>
    <s v="ALK-BA501EZE"/>
    <s v="วุฒิชัย สุนทรานนท์"/>
  </r>
  <r>
    <x v="0"/>
    <x v="21"/>
    <s v="ALK06-A328P"/>
    <s v="วุฒิชัย สุนทรานนท์"/>
  </r>
  <r>
    <x v="0"/>
    <x v="22"/>
    <s v="ALK06-A328S-E"/>
    <s v="วุฒิชัย สุนทรานนท์"/>
  </r>
  <r>
    <x v="0"/>
    <x v="23"/>
    <s v="ALK-BA301EZE"/>
    <s v="วุฒิชัย สุนทรานนท์"/>
  </r>
  <r>
    <x v="0"/>
    <x v="18"/>
    <s v="ALK06-A329P-B"/>
    <s v="วุฒิชัย สุนทรานนท์"/>
  </r>
  <r>
    <x v="0"/>
    <x v="24"/>
    <s v="ALK-AA301FZE"/>
    <s v="วุฒิชัย สุนทรานนท์"/>
  </r>
  <r>
    <x v="0"/>
    <x v="25"/>
    <s v="ALK-BA301EZECPR"/>
    <s v="วุฒิชัย สุนทรานนท์"/>
  </r>
  <r>
    <x v="0"/>
    <x v="25"/>
    <s v="ALK-BA301EZECR"/>
    <s v="วุฒิชัย สุนทรานนท์"/>
  </r>
  <r>
    <x v="0"/>
    <x v="26"/>
    <s v="Eletric Hospital beds"/>
    <s v="วุฒิชัย สุนทรานนท์"/>
  </r>
  <r>
    <x v="0"/>
    <x v="0"/>
    <s v="ICU bed"/>
    <s v="วุฒิชัย สุนทรานนท์"/>
  </r>
  <r>
    <x v="0"/>
    <x v="27"/>
    <s v="Hospital beds"/>
    <s v="วุฒิชัย สุนทรานนท์"/>
  </r>
  <r>
    <x v="0"/>
    <x v="28"/>
    <s v="ALK06-AT3"/>
    <s v="วุฒิชัย สุนทรานนท์"/>
  </r>
  <r>
    <x v="0"/>
    <x v="25"/>
    <s v="ALK-BA301EZE"/>
    <s v="วุฒิชัย สุนทรานนท์"/>
  </r>
  <r>
    <x v="0"/>
    <x v="29"/>
    <s v="ALK-BA301EZE(R)"/>
    <s v="วุฒิชัย สุนทรานนท์"/>
  </r>
  <r>
    <x v="0"/>
    <x v="5"/>
    <s v="ALK06-A329Z-ฺB"/>
    <s v="วุฒิชัย สุนทรานนท์"/>
  </r>
  <r>
    <x v="1"/>
    <x v="30"/>
    <s v="CP/EM4"/>
    <s v="วุฒิชัย สุนทรานนท์"/>
  </r>
  <r>
    <x v="1"/>
    <x v="31"/>
    <s v="CP/MED"/>
    <s v="วุฒิชัย สุนทรานนท์"/>
  </r>
  <r>
    <x v="1"/>
    <x v="32"/>
    <s v="CP/M30"/>
    <s v="วุฒิชัย สุนทรานนท์"/>
  </r>
  <r>
    <x v="1"/>
    <x v="32"/>
    <s v="CP/M40"/>
    <s v="วุฒิชัย สุนทรานนท์"/>
  </r>
  <r>
    <x v="2"/>
    <x v="33"/>
    <s v="D1 public"/>
    <s v="ทิวาพร คาดีวี"/>
  </r>
  <r>
    <x v="3"/>
    <x v="34"/>
    <s v="Sat801"/>
    <s v="ธเนส ภูมิสุราษฎร์"/>
  </r>
  <r>
    <x v="3"/>
    <x v="34"/>
    <s v="Accessorie"/>
    <s v="ธเนส ภูมิสุราษฎร์"/>
  </r>
  <r>
    <x v="3"/>
    <x v="34"/>
    <s v="Sat801"/>
    <s v="ธเนส ภูมิสุราษฎร์2"/>
  </r>
  <r>
    <x v="3"/>
    <x v="34"/>
    <s v="Accessorie"/>
    <s v="ธเนส ภูมิสุราษฎร์2"/>
  </r>
  <r>
    <x v="3"/>
    <x v="34"/>
    <s v="Sat805"/>
    <s v="ธเนส ภูมิสุราษฎร์"/>
  </r>
  <r>
    <x v="4"/>
    <x v="35"/>
    <s v="หุ่นแบบมีไฟ"/>
    <s v="ทิวาพร คาดีวี"/>
  </r>
  <r>
    <x v="4"/>
    <x v="35"/>
    <s v="หุ่นแบบไม่มีไฟ"/>
    <s v="ทิวาพร คาดีวี"/>
  </r>
  <r>
    <x v="4"/>
    <x v="35"/>
    <s v="หุ่น brayden pro"/>
    <s v="ทิวาพร คาดีวี"/>
  </r>
  <r>
    <x v="4"/>
    <x v="35"/>
    <s v="หุ่นเด็ก"/>
    <s v="ทิวาพร คาดีวี"/>
  </r>
  <r>
    <x v="4"/>
    <x v="35"/>
    <s v="Brayden Pro"/>
    <s v="ทิวาพร คาดีวี"/>
  </r>
  <r>
    <x v="5"/>
    <x v="36"/>
    <s v="Casmed740"/>
    <s v="ธเนส ภูมิสุราษฎร์"/>
  </r>
  <r>
    <x v="5"/>
    <x v="36"/>
    <s v="Accessorie"/>
    <s v="ธเนส ภูมิสุราษฎร์"/>
  </r>
  <r>
    <x v="5"/>
    <x v="36"/>
    <s v="Casmed740"/>
    <s v="ธเนส ภูมิสุราษฎร์2"/>
  </r>
  <r>
    <x v="5"/>
    <x v="36"/>
    <s v="Accessorie"/>
    <s v="ธเนส ภูมิสุราษฎร์2"/>
  </r>
  <r>
    <x v="6"/>
    <x v="37"/>
    <s v="LifelineARM"/>
    <s v="ทิวาพร คาดีวี"/>
  </r>
  <r>
    <x v="6"/>
    <x v="37"/>
    <s v="Lifeline Arm"/>
    <s v="ทิวาพร คาดีวี"/>
  </r>
  <r>
    <x v="7"/>
    <x v="38"/>
    <s v="ODM Deltex"/>
    <s v="อัญชรี ทีหอคำ"/>
  </r>
  <r>
    <x v="8"/>
    <x v="39"/>
    <s v="S1"/>
    <s v="กัญญ์วรา เลิศศุภวิทย์นภา"/>
  </r>
  <r>
    <x v="8"/>
    <x v="39"/>
    <s v="S2"/>
    <s v="กัญญ์วรา เลิศศุภวิทย์นภา"/>
  </r>
  <r>
    <x v="8"/>
    <x v="39"/>
    <s v="S4"/>
    <s v="กัญญ์วรา เลิศศุภวิทย์นภา"/>
  </r>
  <r>
    <x v="9"/>
    <x v="40"/>
    <s v="ERS.2"/>
    <s v="อดิศร คำภาทู"/>
  </r>
  <r>
    <x v="9"/>
    <x v="41"/>
    <s v="5T"/>
    <s v="อดิศร คำภาทู"/>
  </r>
  <r>
    <x v="9"/>
    <x v="41"/>
    <s v="ErgoSelect 400"/>
    <s v="อดิศร คำภาทู"/>
  </r>
  <r>
    <x v="9"/>
    <x v="41"/>
    <s v="ErgoSelect 600"/>
    <s v="อดิศร คำภาทู"/>
  </r>
  <r>
    <x v="9"/>
    <x v="41"/>
    <s v="SCI FIT(Step One)"/>
    <s v="อดิศร คำภาทู"/>
  </r>
  <r>
    <x v="9"/>
    <x v="42"/>
    <s v="Accessorie"/>
    <s v="อดิศร คำภาทู"/>
  </r>
  <r>
    <x v="9"/>
    <x v="40"/>
    <s v="Telemetry cardiac"/>
    <s v="อดิศร คำภาทู"/>
  </r>
  <r>
    <x v="9"/>
    <x v="41"/>
    <s v="ชุดจักรยาน+ECG+BP+SpO2"/>
    <s v="อดิศร คำภาทู"/>
  </r>
  <r>
    <x v="9"/>
    <x v="41"/>
    <s v="Ergo select400"/>
    <s v="อดิศร คำภาทู"/>
  </r>
  <r>
    <x v="9"/>
    <x v="41"/>
    <s v="ergo400+600"/>
    <s v="อดิศร คำภาทู"/>
  </r>
  <r>
    <x v="9"/>
    <x v="40"/>
    <s v="ERS2+10ตัวลูก"/>
    <s v="อดิศร คำภาทู"/>
  </r>
  <r>
    <x v="10"/>
    <x v="43"/>
    <s v="Famed"/>
    <s v="วุฒิชัย สุนทรานนท์"/>
  </r>
  <r>
    <x v="11"/>
    <x v="44"/>
    <s v="HKQ-G-150A-D"/>
    <s v="กัญญ์วรา เลิศศุภวิทย์นภา"/>
  </r>
  <r>
    <x v="11"/>
    <x v="44"/>
    <s v="KJF-Y100"/>
    <s v="กัญญ์วรา เลิศศุภวิทย์นภา"/>
  </r>
  <r>
    <x v="11"/>
    <x v="45"/>
    <s v="Portable"/>
    <s v="กัญญ์วรา เลิศศุภวิทย์นภา"/>
  </r>
  <r>
    <x v="12"/>
    <x v="46"/>
    <s v="Ergostik"/>
    <s v="อดิศร คำภาทู"/>
  </r>
  <r>
    <x v="12"/>
    <x v="46"/>
    <s v="Accessorie"/>
    <s v="อดิศร คำภาทู"/>
  </r>
  <r>
    <x v="12"/>
    <x v="47"/>
    <s v="Bodystik"/>
    <s v="อดิศร คำภาทู"/>
  </r>
  <r>
    <x v="12"/>
    <x v="48"/>
    <s v="Spirostik"/>
    <s v="อดิศร คำภาทู"/>
  </r>
  <r>
    <x v="12"/>
    <x v="46"/>
    <s v="VO2Max"/>
    <s v="อดิศร คำภาทู"/>
  </r>
  <r>
    <x v="12"/>
    <x v="46"/>
    <s v="Ergostik+Accessorie"/>
    <s v="อดิศร คำภาทู"/>
  </r>
  <r>
    <x v="13"/>
    <x v="49"/>
    <s v="VL3R"/>
    <s v="ทิวาพร คาดีวี"/>
  </r>
  <r>
    <x v="13"/>
    <x v="49"/>
    <s v="VL3D"/>
    <s v="ทิวาพร คาดีวี"/>
  </r>
  <r>
    <x v="13"/>
    <x v="49"/>
    <s v="VLRM"/>
    <s v="ทิวาพร คาดีวี"/>
  </r>
  <r>
    <x v="13"/>
    <x v="49"/>
    <s v="VLDM"/>
    <s v="ทิวาพร คาดีวี"/>
  </r>
  <r>
    <x v="13"/>
    <x v="49"/>
    <s v="VL3R HDMI"/>
    <s v="ทิวาพร คาดีวี"/>
  </r>
  <r>
    <x v="13"/>
    <x v="49"/>
    <s v="VL3R"/>
    <s v="วุฒิชัย สุนทรานนท์"/>
  </r>
  <r>
    <x v="13"/>
    <x v="49"/>
    <s v="VLM"/>
    <s v="ทิวาพร คาดีวี"/>
  </r>
  <r>
    <x v="13"/>
    <x v="49"/>
    <s v="LVM"/>
    <s v="ทิวาพร คาดีวี"/>
  </r>
  <r>
    <x v="14"/>
    <x v="50"/>
    <s v="Hypnus CPAP"/>
    <s v="ฐิติรัตน์ ตางาม"/>
  </r>
  <r>
    <x v="14"/>
    <x v="51"/>
    <s v="Hypnus BiPAP"/>
    <s v="ฐิติรัตน์ ตางาม"/>
  </r>
  <r>
    <x v="15"/>
    <x v="52"/>
    <s v="PAPR"/>
    <s v="สุภาวิณี แย้มสุวรรณา"/>
  </r>
  <r>
    <x v="16"/>
    <x v="53"/>
    <s v="Type A"/>
    <s v="สุภาวิณี แย้มสุวรรณา"/>
  </r>
  <r>
    <x v="16"/>
    <x v="53"/>
    <s v="Type B"/>
    <s v="สุภาวิณี แย้มสุวรรณา"/>
  </r>
  <r>
    <x v="16"/>
    <x v="53"/>
    <s v="Type D"/>
    <s v="สุภาวิณี แย้มสุวรรณา"/>
  </r>
  <r>
    <x v="16"/>
    <x v="53"/>
    <s v="IN-CO1"/>
    <s v="สุภาวิณี แย้มสุวรรณา"/>
  </r>
  <r>
    <x v="17"/>
    <x v="54"/>
    <s v="เครื่องให้ออกซิเจนด้วยอัตราการไหลสูง"/>
    <s v="ฐิติรัตน์ ตางาม"/>
  </r>
  <r>
    <x v="17"/>
    <x v="54"/>
    <s v="เครื่องให้ออกซิเจนด้วยอัตราการไหลสูงสำหรับเด็ก"/>
    <s v="ฐิติรัตน์ ตางาม"/>
  </r>
  <r>
    <x v="17"/>
    <x v="55"/>
    <s v="O2FLO"/>
    <s v="ฐิติรัตน์ ตางาม"/>
  </r>
  <r>
    <x v="18"/>
    <x v="30"/>
    <s v="JD-18"/>
    <s v="วุฒิชัย สุนทรานนท์"/>
  </r>
  <r>
    <x v="18"/>
    <x v="56"/>
    <s v="JD-81"/>
    <s v="วุฒิชัย สุนทรานนท์"/>
  </r>
  <r>
    <x v="18"/>
    <x v="57"/>
    <s v="JD-2012"/>
    <s v="วุฒิชัย สุนทรานนท์"/>
  </r>
  <r>
    <x v="18"/>
    <x v="58"/>
    <s v="JD-2013"/>
    <s v="วุฒิชัย สุนทรานนท์"/>
  </r>
  <r>
    <x v="18"/>
    <x v="30"/>
    <s v="JD-2012"/>
    <s v="วุฒิชัย สุนทรานนท์"/>
  </r>
  <r>
    <x v="18"/>
    <x v="57"/>
    <s v="JD-18"/>
    <s v="วุฒิชัย สุนทรานนท์"/>
  </r>
  <r>
    <x v="18"/>
    <x v="58"/>
    <s v="jD2013"/>
    <s v="วุฒิชัย สุนทรานนท์"/>
  </r>
  <r>
    <x v="19"/>
    <x v="32"/>
    <s v="JP-010"/>
    <s v="วุฒิชัย สุนทรานนท์"/>
  </r>
  <r>
    <x v="19"/>
    <x v="0"/>
    <s v="ES-96HD"/>
    <s v="วุฒิชัย สุนทรานนท์"/>
  </r>
  <r>
    <x v="19"/>
    <x v="32"/>
    <s v="JP010"/>
    <s v="วุฒิชัย สุนทรานนท์"/>
  </r>
  <r>
    <x v="20"/>
    <x v="59"/>
    <s v="JZK-601"/>
    <s v="สุภาวิณี แย้มสุวรรณา"/>
  </r>
  <r>
    <x v="21"/>
    <x v="60"/>
    <s v="CD-003"/>
    <s v="วุฒิชัย สุนทรานนท์"/>
  </r>
  <r>
    <x v="22"/>
    <x v="61"/>
    <s v="PV100"/>
    <s v="ฐิติรัตน์ ตางาม"/>
  </r>
  <r>
    <x v="22"/>
    <x v="61"/>
    <s v="PV900"/>
    <s v="ฐิติรัตน์ ตางาม"/>
  </r>
  <r>
    <x v="23"/>
    <x v="62"/>
    <s v="MiraQ"/>
    <s v="อดิศร คำภาทู"/>
  </r>
  <r>
    <x v="23"/>
    <x v="63"/>
    <s v="Flow Probe"/>
    <s v="อดิศร คำภาทู"/>
  </r>
  <r>
    <x v="23"/>
    <x v="62"/>
    <s v="MiraQ C"/>
    <s v="อดิศร คำภาทู"/>
  </r>
  <r>
    <x v="23"/>
    <x v="62"/>
    <s v="MiraQ Caraiac"/>
    <s v="อดิศร คำภาทู"/>
  </r>
  <r>
    <x v="23"/>
    <x v="64"/>
    <s v="Flow Porbe"/>
    <s v="อดิศร คำภาทู"/>
  </r>
  <r>
    <x v="23"/>
    <x v="65"/>
    <s v="MiraQ"/>
    <s v="อดิศร คำภาทู"/>
  </r>
  <r>
    <x v="23"/>
    <x v="62"/>
    <s v="probe"/>
    <s v="อดิศร คำภาทู"/>
  </r>
  <r>
    <x v="24"/>
    <x v="66"/>
    <s v="UniBase 30"/>
    <s v="วุฒิชัย สุนทรานนท์"/>
  </r>
  <r>
    <x v="24"/>
    <x v="66"/>
    <s v="HyBase 3000"/>
    <s v="วุฒิชัย สุนทรานนท์"/>
  </r>
  <r>
    <x v="24"/>
    <x v="66"/>
    <s v="HyBase 6100"/>
    <s v="วุฒิชัย สุนทรานนท์"/>
  </r>
  <r>
    <x v="24"/>
    <x v="66"/>
    <s v="HyBase 8500"/>
    <s v="วุฒิชัย สุนทรานนท์"/>
  </r>
  <r>
    <x v="24"/>
    <x v="66"/>
    <s v="HyLED 200M"/>
    <s v="วุฒิชัย สุนทรานนท์"/>
  </r>
  <r>
    <x v="24"/>
    <x v="66"/>
    <s v="HYLED 200"/>
    <s v="วุฒิชัย สุนทรานนท์"/>
  </r>
  <r>
    <x v="24"/>
    <x v="66"/>
    <s v="HyLED 200/200"/>
    <s v="วุฒิชัย สุนทรานนท์"/>
  </r>
  <r>
    <x v="24"/>
    <x v="66"/>
    <s v="HyLED 600M"/>
    <s v="วุฒิชัย สุนทรานนท์"/>
  </r>
  <r>
    <x v="24"/>
    <x v="66"/>
    <s v="HYLED 600"/>
    <s v="วุฒิชัย สุนทรานนท์"/>
  </r>
  <r>
    <x v="24"/>
    <x v="66"/>
    <s v="HyLED 600/600"/>
    <s v="วุฒิชัย สุนทรานนท์"/>
  </r>
  <r>
    <x v="24"/>
    <x v="66"/>
    <s v="HyLED 730M"/>
    <s v="วุฒิชัย สุนทรานนท์"/>
  </r>
  <r>
    <x v="24"/>
    <x v="66"/>
    <s v="HYLED 730/730"/>
    <s v="วุฒิชัย สุนทรานนท์"/>
  </r>
  <r>
    <x v="24"/>
    <x v="66"/>
    <s v="HyLED 760/730"/>
    <s v="วุฒิชัย สุนทรานนท์"/>
  </r>
  <r>
    <x v="24"/>
    <x v="66"/>
    <s v="HyLED 8600/8600"/>
    <s v="วุฒิชัย สุนทรานนท์"/>
  </r>
  <r>
    <x v="24"/>
    <x v="66"/>
    <s v="HyLED X5/X5"/>
    <s v="วุฒิชัย สุนทรานนท์"/>
  </r>
  <r>
    <x v="24"/>
    <x v="66"/>
    <s v="HyLED X9/X5"/>
    <s v="วุฒิชัย สุนทรานนท์"/>
  </r>
  <r>
    <x v="24"/>
    <x v="66"/>
    <s v="SM999"/>
    <s v="วุฒิชัย สุนทรานนท์"/>
  </r>
  <r>
    <x v="24"/>
    <x v="67"/>
    <s v="VP5"/>
    <s v="ธเนส ภูมิสุราษฎร์"/>
  </r>
  <r>
    <x v="24"/>
    <x v="68"/>
    <s v="DC-60"/>
    <s v="อัญชรี ทีหอคำ"/>
  </r>
  <r>
    <x v="24"/>
    <x v="68"/>
    <s v="DC-60 Exp"/>
    <s v="อัญชรี ทีหอคำ"/>
  </r>
  <r>
    <x v="24"/>
    <x v="69"/>
    <s v="SV600"/>
    <s v="ฐิติรัตน์ ตางาม"/>
  </r>
  <r>
    <x v="24"/>
    <x v="70"/>
    <s v="ePM10"/>
    <s v="ธเนส ภูมิสุราษฎร์"/>
  </r>
  <r>
    <x v="24"/>
    <x v="70"/>
    <s v="ePM12"/>
    <s v="ธเนส ภูมิสุราษฎร์"/>
  </r>
  <r>
    <x v="24"/>
    <x v="70"/>
    <s v="ePM 15"/>
    <s v="ธเนส ภูมิสุราษฎร์"/>
  </r>
  <r>
    <x v="24"/>
    <x v="70"/>
    <s v="iMEC 8"/>
    <s v="ธเนส ภูมิสุราษฎร์"/>
  </r>
  <r>
    <x v="24"/>
    <x v="70"/>
    <s v="iMEC10"/>
    <s v="ธเนส ภูมิสุราษฎร์"/>
  </r>
  <r>
    <x v="24"/>
    <x v="70"/>
    <s v="iMEC12"/>
    <s v="ธเนส ภูมิสุราษฎร์"/>
  </r>
  <r>
    <x v="24"/>
    <x v="70"/>
    <s v="iMEC 15"/>
    <s v="ธเนส ภูมิสุราษฎร์"/>
  </r>
  <r>
    <x v="24"/>
    <x v="69"/>
    <s v="SV300"/>
    <s v="ฐิติรัตน์ ตางาม"/>
  </r>
  <r>
    <x v="24"/>
    <x v="71"/>
    <s v="D3 Sat"/>
    <s v="ทิวาพร คาดีวี"/>
  </r>
  <r>
    <x v="24"/>
    <x v="71"/>
    <s v="CMS+ Defibrillator"/>
    <s v="ธเนส ภูมิสุราษฎร์"/>
  </r>
  <r>
    <x v="24"/>
    <x v="72"/>
    <s v="Hyport3000 Double arm"/>
    <s v="ธเนส ภูมิสุราษฎร์"/>
  </r>
  <r>
    <x v="24"/>
    <x v="68"/>
    <s v="TE7"/>
    <s v="อัญชรี ทีหอคำ"/>
  </r>
  <r>
    <x v="24"/>
    <x v="68"/>
    <s v="TE7 ACE"/>
    <s v="อัญชรี ทีหอคำ"/>
  </r>
  <r>
    <x v="24"/>
    <x v="71"/>
    <s v="D3 Sat BP"/>
    <s v="ทิวาพร คาดีวี"/>
  </r>
  <r>
    <x v="24"/>
    <x v="71"/>
    <s v="D3 Sat BP CO2"/>
    <s v="ทิวาพร คาดีวี"/>
  </r>
  <r>
    <x v="24"/>
    <x v="70"/>
    <s v="VS600"/>
    <s v="ธเนส ภูมิสุราษฎร์"/>
  </r>
  <r>
    <x v="24"/>
    <x v="70"/>
    <s v="N1"/>
    <s v="ธเนส ภูมิสุราษฎร์"/>
  </r>
  <r>
    <x v="24"/>
    <x v="70"/>
    <s v="N12"/>
    <s v="ธเนส ภูมิสุราษฎร์"/>
  </r>
  <r>
    <x v="24"/>
    <x v="71"/>
    <s v="D3 Sat tele"/>
    <s v="ทิวาพร คาดีวี"/>
  </r>
  <r>
    <x v="24"/>
    <x v="68"/>
    <s v="Resona7"/>
    <s v="อัญชรี ทีหอคำ"/>
  </r>
  <r>
    <x v="24"/>
    <x v="70"/>
    <s v="VS900"/>
    <s v="ธเนส ภูมิสุราษฎร์"/>
  </r>
  <r>
    <x v="24"/>
    <x v="71"/>
    <s v="D3 Sat BP tele"/>
    <s v="ทิวาพร คาดีวี"/>
  </r>
  <r>
    <x v="24"/>
    <x v="70"/>
    <s v="N15"/>
    <s v="ธเนส ภูมิสุราษฎร์"/>
  </r>
  <r>
    <x v="24"/>
    <x v="71"/>
    <s v="D3 Sat BP CO2 tele"/>
    <s v="ทิวาพร คาดีวี"/>
  </r>
  <r>
    <x v="24"/>
    <x v="70"/>
    <s v="PM60"/>
    <s v="ธเนส ภูมิสุราษฎร์"/>
  </r>
  <r>
    <x v="24"/>
    <x v="70"/>
    <s v="Accessorie"/>
    <s v="ธเนส ภูมิสุราษฎร์"/>
  </r>
  <r>
    <x v="24"/>
    <x v="68"/>
    <s v="Z5"/>
    <s v="อัญชรี ทีหอคำ"/>
  </r>
  <r>
    <x v="24"/>
    <x v="67"/>
    <s v="SP5"/>
    <s v="ธเนส ภูมิสุราษฎร์"/>
  </r>
  <r>
    <x v="24"/>
    <x v="69"/>
    <s v="E3"/>
    <s v="ฐิติรัตน์ ตางาม"/>
  </r>
  <r>
    <x v="24"/>
    <x v="68"/>
    <s v="M9"/>
    <s v="อัญชรี ทีหอคำ"/>
  </r>
  <r>
    <x v="24"/>
    <x v="68"/>
    <s v="DC-30"/>
    <s v="อัญชรี ทีหอคำ"/>
  </r>
  <r>
    <x v="24"/>
    <x v="71"/>
    <s v="D6 Sat BP"/>
    <s v="ทิวาพร คาดีวี"/>
  </r>
  <r>
    <x v="24"/>
    <x v="68"/>
    <s v="Z6"/>
    <s v="อัญชรี ทีหอคำ"/>
  </r>
  <r>
    <x v="24"/>
    <x v="71"/>
    <s v="D6 Sat BP 12 lead"/>
    <s v="ทิวาพร คาดีวี"/>
  </r>
  <r>
    <x v="24"/>
    <x v="71"/>
    <s v="D6 Sat BP 12 lead CO2(Side)"/>
    <s v="ทิวาพร คาดีวี"/>
  </r>
  <r>
    <x v="24"/>
    <x v="71"/>
    <s v="D6 Sat BP 12 lead CO2(main)"/>
    <s v="ทิวาพร คาดีวี"/>
  </r>
  <r>
    <x v="24"/>
    <x v="69"/>
    <s v="SV300 covid"/>
    <s v="ฐิติรัตน์ ตางาม"/>
  </r>
  <r>
    <x v="24"/>
    <x v="69"/>
    <s v="SV600 Covid"/>
    <s v="ฐิติรัตน์ ตางาม"/>
  </r>
  <r>
    <x v="24"/>
    <x v="71"/>
    <s v="D6 Sat BP tele"/>
    <s v="ทิวาพร คาดีวี"/>
  </r>
  <r>
    <x v="24"/>
    <x v="71"/>
    <s v="D6 Sat BP 12 lead tele"/>
    <s v="ทิวาพร คาดีวี"/>
  </r>
  <r>
    <x v="24"/>
    <x v="68"/>
    <s v="DC-70 Exp"/>
    <s v="อัญชรี ทีหอคำ"/>
  </r>
  <r>
    <x v="24"/>
    <x v="71"/>
    <s v="D6 Sat BP 12 lead CO2(Side) tele"/>
    <s v="ทิวาพร คาดีวี"/>
  </r>
  <r>
    <x v="24"/>
    <x v="71"/>
    <s v="D6 Sat BP 12 lead CO2(main) tele"/>
    <s v="ทิวาพร คาดีวี"/>
  </r>
  <r>
    <x v="24"/>
    <x v="71"/>
    <s v="PHIES"/>
    <s v="ทิวาพร คาดีวี"/>
  </r>
  <r>
    <x v="24"/>
    <x v="71"/>
    <s v="D1 public"/>
    <s v="ทิวาพร คาดีวี"/>
  </r>
  <r>
    <x v="24"/>
    <x v="71"/>
    <s v="D1 public with wifi"/>
    <s v="ทิวาพร คาดีวี"/>
  </r>
  <r>
    <x v="24"/>
    <x v="68"/>
    <s v="M9+ Sonostar"/>
    <s v="อัญชรี ทีหอคำ"/>
  </r>
  <r>
    <x v="24"/>
    <x v="71"/>
    <s v="D1 public with CPR"/>
    <s v="ทิวาพร คาดีวี"/>
  </r>
  <r>
    <x v="24"/>
    <x v="71"/>
    <s v="D1 public with CPR, wifi"/>
    <s v="ทิวาพร คาดีวี"/>
  </r>
  <r>
    <x v="24"/>
    <x v="71"/>
    <s v="D1 Trainer"/>
    <s v="ทิวาพร คาดีวี"/>
  </r>
  <r>
    <x v="24"/>
    <x v="68"/>
    <s v="DC-80"/>
    <s v="อัญชรี ทีหอคำ"/>
  </r>
  <r>
    <x v="24"/>
    <x v="68"/>
    <s v="DC-80X Insight"/>
    <s v="อัญชรี ทีหอคำ"/>
  </r>
  <r>
    <x v="24"/>
    <x v="68"/>
    <s v="DC-80exp"/>
    <s v="อัญชรี ทีหอคำ"/>
  </r>
  <r>
    <x v="24"/>
    <x v="68"/>
    <s v="DC-8"/>
    <s v="อัญชรี ทีหอคำ"/>
  </r>
  <r>
    <x v="24"/>
    <x v="68"/>
    <s v="DC-8exp"/>
    <s v="อัญชรี ทีหอคำ"/>
  </r>
  <r>
    <x v="24"/>
    <x v="70"/>
    <s v="CMS + ePM"/>
    <s v="ธเนส ภูมิสุราษฎร์"/>
  </r>
  <r>
    <x v="24"/>
    <x v="68"/>
    <s v="DC-70 X-insigth"/>
    <s v="อัญชรี ทีหอคำ"/>
  </r>
  <r>
    <x v="24"/>
    <x v="68"/>
    <s v="DC-70"/>
    <s v="อัญชรี ทีหอคำ"/>
  </r>
  <r>
    <x v="24"/>
    <x v="68"/>
    <s v="M9+DC60"/>
    <s v="อัญชรี ทีหอคำ"/>
  </r>
  <r>
    <x v="24"/>
    <x v="68"/>
    <s v="DC40"/>
    <s v="อัญชรี ทีหอคำ"/>
  </r>
  <r>
    <x v="24"/>
    <x v="68"/>
    <s v="DC40 Full HD"/>
    <s v="อัญชรี ทีหอคำ"/>
  </r>
  <r>
    <x v="24"/>
    <x v="68"/>
    <s v="M7"/>
    <s v="อัญชรี ทีหอคำ"/>
  </r>
  <r>
    <x v="24"/>
    <x v="68"/>
    <s v="DP30"/>
    <s v="อัญชรี ทีหอคำ"/>
  </r>
  <r>
    <x v="24"/>
    <x v="72"/>
    <s v="HyPort 3000 Single Arm"/>
    <s v="ธเนส ภูมิสุราษฎร์"/>
  </r>
  <r>
    <x v="24"/>
    <x v="70"/>
    <s v="N17"/>
    <s v="ธเนส ภูมิสุราษฎร์"/>
  </r>
  <r>
    <x v="24"/>
    <x v="70"/>
    <s v="CMS+ N Series"/>
    <s v="ธเนส ภูมิสุราษฎร์"/>
  </r>
  <r>
    <x v="24"/>
    <x v="70"/>
    <s v="CMS+ iMec"/>
    <s v="ธเนส ภูมิสุราษฎร์"/>
  </r>
  <r>
    <x v="24"/>
    <x v="73"/>
    <s v="Accessorie"/>
    <s v="ธเนส ภูมิสุราษฎร์"/>
  </r>
  <r>
    <x v="24"/>
    <x v="70"/>
    <s v="N19"/>
    <s v="ธเนส ภูมิสุราษฎร์"/>
  </r>
  <r>
    <x v="24"/>
    <x v="70"/>
    <s v="N22"/>
    <s v="ธเนส ภูมิสุราษฎร์"/>
  </r>
  <r>
    <x v="24"/>
    <x v="70"/>
    <s v="TM80"/>
    <s v="ธเนส ภูมิสุราษฎร์"/>
  </r>
  <r>
    <x v="24"/>
    <x v="70"/>
    <s v="BP10"/>
    <s v="ธเนส ภูมิสุราษฎร์"/>
  </r>
  <r>
    <x v="24"/>
    <x v="67"/>
    <s v="CS5"/>
    <s v="ธเนส ภูมิสุราษฎร์"/>
  </r>
  <r>
    <x v="24"/>
    <x v="67"/>
    <s v="DS5"/>
    <s v="ธเนส ภูมิสุราษฎร์"/>
  </r>
  <r>
    <x v="24"/>
    <x v="67"/>
    <s v="Accessorie"/>
    <s v="ธเนส ภูมิสุราษฎร์"/>
  </r>
  <r>
    <x v="24"/>
    <x v="72"/>
    <s v="HyPort 6000"/>
    <s v="ธเนส ภูมิสุราษฎร์"/>
  </r>
  <r>
    <x v="24"/>
    <x v="72"/>
    <s v="HyPort 8000"/>
    <s v="ธเนส ภูมิสุราษฎร์"/>
  </r>
  <r>
    <x v="24"/>
    <x v="72"/>
    <s v="HyPort 9000"/>
    <s v="ธเนส ภูมิสุราษฎร์"/>
  </r>
  <r>
    <x v="24"/>
    <x v="72"/>
    <s v="Accessorie"/>
    <s v="ธเนส ภูมิสุราษฎร์"/>
  </r>
  <r>
    <x v="24"/>
    <x v="68"/>
    <s v="DC-N3"/>
    <s v="อัญชรี ทีหอคำ"/>
  </r>
  <r>
    <x v="24"/>
    <x v="68"/>
    <s v="MX7"/>
    <s v="อัญชรี ทีหอคำ"/>
  </r>
  <r>
    <x v="24"/>
    <x v="67"/>
    <s v="VP5"/>
    <s v="ธเนส ภูมิสุราษฎร์2"/>
  </r>
  <r>
    <x v="24"/>
    <x v="70"/>
    <s v="ePM10"/>
    <s v="ธเนส ภูมิสุราษฎร์2"/>
  </r>
  <r>
    <x v="24"/>
    <x v="70"/>
    <s v="ePM12"/>
    <s v="ธเนส ภูมิสุราษฎร์2"/>
  </r>
  <r>
    <x v="24"/>
    <x v="70"/>
    <s v="ePM 15"/>
    <s v="ธเนส ภูมิสุราษฎร์2"/>
  </r>
  <r>
    <x v="24"/>
    <x v="70"/>
    <s v="iMEC 8"/>
    <s v="ธเนส ภูมิสุราษฎร์2"/>
  </r>
  <r>
    <x v="24"/>
    <x v="70"/>
    <s v="iMEC10"/>
    <s v="ธเนส ภูมิสุราษฎร์2"/>
  </r>
  <r>
    <x v="24"/>
    <x v="70"/>
    <s v="iMEC12"/>
    <s v="ธเนส ภูมิสุราษฎร์2"/>
  </r>
  <r>
    <x v="24"/>
    <x v="70"/>
    <s v="iMEC 15"/>
    <s v="ธเนส ภูมิสุราษฎร์2"/>
  </r>
  <r>
    <x v="24"/>
    <x v="71"/>
    <s v="CMS+ Defibrillator"/>
    <s v="ธเนส ภูมิสุราษฎร์2"/>
  </r>
  <r>
    <x v="24"/>
    <x v="72"/>
    <s v="Hyport3000 Double arm"/>
    <s v="ธเนส ภูมิสุราษฎร์2"/>
  </r>
  <r>
    <x v="24"/>
    <x v="70"/>
    <s v="VS600"/>
    <s v="ธเนส ภูมิสุราษฎร์2"/>
  </r>
  <r>
    <x v="24"/>
    <x v="70"/>
    <s v="N1"/>
    <s v="ธเนส ภูมิสุราษฎร์2"/>
  </r>
  <r>
    <x v="24"/>
    <x v="70"/>
    <s v="N12"/>
    <s v="ธเนส ภูมิสุราษฎร์2"/>
  </r>
  <r>
    <x v="24"/>
    <x v="70"/>
    <s v="VS900"/>
    <s v="ธเนส ภูมิสุราษฎร์2"/>
  </r>
  <r>
    <x v="24"/>
    <x v="70"/>
    <s v="N15"/>
    <s v="ธเนส ภูมิสุราษฎร์2"/>
  </r>
  <r>
    <x v="24"/>
    <x v="70"/>
    <s v="PM60"/>
    <s v="ธเนส ภูมิสุราษฎร์2"/>
  </r>
  <r>
    <x v="24"/>
    <x v="70"/>
    <s v="Accessorie"/>
    <s v="ธเนส ภูมิสุราษฎร์2"/>
  </r>
  <r>
    <x v="24"/>
    <x v="67"/>
    <s v="SP5"/>
    <s v="ธเนส ภูมิสุราษฎร์2"/>
  </r>
  <r>
    <x v="24"/>
    <x v="70"/>
    <s v="CMS + ePM"/>
    <s v="ธเนส ภูมิสุราษฎร์2"/>
  </r>
  <r>
    <x v="24"/>
    <x v="72"/>
    <s v="HyPort 3000 Single Arm"/>
    <s v="ธเนส ภูมิสุราษฎร์2"/>
  </r>
  <r>
    <x v="24"/>
    <x v="70"/>
    <s v="N17"/>
    <s v="ธเนส ภูมิสุราษฎร์2"/>
  </r>
  <r>
    <x v="24"/>
    <x v="70"/>
    <s v="CMS+ N Series"/>
    <s v="ธเนส ภูมิสุราษฎร์2"/>
  </r>
  <r>
    <x v="24"/>
    <x v="70"/>
    <s v="CMS+ iMec"/>
    <s v="ธเนส ภูมิสุราษฎร์2"/>
  </r>
  <r>
    <x v="24"/>
    <x v="70"/>
    <s v="N19"/>
    <s v="ธเนส ภูมิสุราษฎร์2"/>
  </r>
  <r>
    <x v="24"/>
    <x v="70"/>
    <s v="N22"/>
    <s v="ธเนส ภูมิสุราษฎร์2"/>
  </r>
  <r>
    <x v="24"/>
    <x v="70"/>
    <s v="TM80"/>
    <s v="ธเนส ภูมิสุราษฎร์2"/>
  </r>
  <r>
    <x v="24"/>
    <x v="70"/>
    <s v="BP10"/>
    <s v="ธเนส ภูมิสุราษฎร์2"/>
  </r>
  <r>
    <x v="24"/>
    <x v="67"/>
    <s v="CS5"/>
    <s v="ธเนส ภูมิสุราษฎร์2"/>
  </r>
  <r>
    <x v="24"/>
    <x v="67"/>
    <s v="DS5"/>
    <s v="ธเนส ภูมิสุราษฎร์2"/>
  </r>
  <r>
    <x v="24"/>
    <x v="67"/>
    <s v="Accessorie"/>
    <s v="ธเนส ภูมิสุราษฎร์2"/>
  </r>
  <r>
    <x v="24"/>
    <x v="72"/>
    <s v="HyPort 6000"/>
    <s v="ธเนส ภูมิสุราษฎร์2"/>
  </r>
  <r>
    <x v="24"/>
    <x v="72"/>
    <s v="HyPort 8000"/>
    <s v="ธเนส ภูมิสุราษฎร์2"/>
  </r>
  <r>
    <x v="24"/>
    <x v="72"/>
    <s v="HyPort 9000"/>
    <s v="ธเนส ภูมิสุราษฎร์2"/>
  </r>
  <r>
    <x v="24"/>
    <x v="72"/>
    <s v="Accessorie"/>
    <s v="ธเนส ภูมิสุราษฎร์2"/>
  </r>
  <r>
    <x v="24"/>
    <x v="68"/>
    <s v="DC60"/>
    <s v="อัญชรี ทีหอคำ"/>
  </r>
  <r>
    <x v="24"/>
    <x v="71"/>
    <s v="D3 full"/>
    <s v="ทิวาพร คาดีวี"/>
  </r>
  <r>
    <x v="24"/>
    <x v="70"/>
    <s v="ePM12+Central"/>
    <s v="ธเนส ภูมิสุราษฎร์"/>
  </r>
  <r>
    <x v="24"/>
    <x v="67"/>
    <s v="VP5+Cantral 2วง"/>
    <s v="ธเนส ภูมิสุราษฎร์"/>
  </r>
  <r>
    <x v="24"/>
    <x v="71"/>
    <s v="D3"/>
    <s v="ทิวาพร คาดีวี"/>
  </r>
  <r>
    <x v="24"/>
    <x v="71"/>
    <s v="D1"/>
    <s v="ทิวาพร คาดีวี"/>
  </r>
  <r>
    <x v="24"/>
    <x v="70"/>
    <s v="ePM15"/>
    <s v="ธเนส ภูมิสุราษฎร์"/>
  </r>
  <r>
    <x v="24"/>
    <x v="71"/>
    <s v="D3 std+NIBP"/>
    <s v="ทิวาพร คาดีวี"/>
  </r>
  <r>
    <x v="24"/>
    <x v="70"/>
    <s v="PM-60"/>
    <s v="ธเนส ภูมิสุราษฎร์"/>
  </r>
  <r>
    <x v="24"/>
    <x v="71"/>
    <s v="D3 EtCO2"/>
    <s v="ทิวาพร คาดีวี"/>
  </r>
  <r>
    <x v="24"/>
    <x v="72"/>
    <s v="Hyport 3000"/>
    <s v="ธเนส ภูมิสุราษฎร์"/>
  </r>
  <r>
    <x v="24"/>
    <x v="67"/>
    <s v="IV Pump"/>
    <s v="ธเนส ภูมิสุราษฎร์"/>
  </r>
  <r>
    <x v="24"/>
    <x v="33"/>
    <s v="D1"/>
    <s v="ทิวาพร คาดีวี"/>
  </r>
  <r>
    <x v="24"/>
    <x v="33"/>
    <s v="D1 public"/>
    <s v="ทิวาพร คาดีวี"/>
  </r>
  <r>
    <x v="24"/>
    <x v="70"/>
    <s v="ePM+Benevision"/>
    <s v="ธเนส ภูมิสุราษฎร์"/>
  </r>
  <r>
    <x v="24"/>
    <x v="70"/>
    <s v="CMS+N12"/>
    <s v="ธเนส ภูมิสุราษฎร์"/>
  </r>
  <r>
    <x v="24"/>
    <x v="71"/>
    <s v="D6+Hypervisor"/>
    <s v="ทิวาพร คาดีวี"/>
  </r>
  <r>
    <x v="24"/>
    <x v="71"/>
    <s v="Telemed D6"/>
    <s v="ทิวาพร คาดีวี"/>
  </r>
  <r>
    <x v="24"/>
    <x v="72"/>
    <s v="HyPort3000No Arm"/>
    <s v="ธเนส ภูมิสุราษฎร์"/>
  </r>
  <r>
    <x v="24"/>
    <x v="66"/>
    <s v="HyLED X Series"/>
    <s v="วุฒิชัย สุนทรานนท์"/>
  </r>
  <r>
    <x v="24"/>
    <x v="70"/>
    <s v="CMS+ePM12"/>
    <s v="ธเนส ภูมิสุราษฎร์"/>
  </r>
  <r>
    <x v="24"/>
    <x v="71"/>
    <s v="D3 co2"/>
    <s v="ทิวาพร คาดีวี"/>
  </r>
  <r>
    <x v="24"/>
    <x v="71"/>
    <s v="D6"/>
    <s v="ทิวาพร คาดีวี"/>
  </r>
  <r>
    <x v="24"/>
    <x v="66"/>
    <s v="HyBase600"/>
    <s v="วุฒิชัย สุนทรานนท์"/>
  </r>
  <r>
    <x v="24"/>
    <x v="66"/>
    <s v="HyLED730"/>
    <s v="วุฒิชัย สุนทรานนท์"/>
  </r>
  <r>
    <x v="24"/>
    <x v="71"/>
    <s v="D6+telemed"/>
    <s v="ทิวาพร คาดีวี"/>
  </r>
  <r>
    <x v="24"/>
    <x v="70"/>
    <s v="VS900 BP sat temp"/>
    <s v="ธเนส ภูมิสุราษฎร์"/>
  </r>
  <r>
    <x v="24"/>
    <x v="71"/>
    <s v="D3 Telemed"/>
    <s v="ทิวาพร คาดีวี"/>
  </r>
  <r>
    <x v="24"/>
    <x v="72"/>
    <s v="Hyport3000"/>
    <s v="ธเนส ภูมิสุราษฎร์"/>
  </r>
  <r>
    <x v="24"/>
    <x v="71"/>
    <s v="D6 tele"/>
    <s v="ทิวาพร คาดีวี"/>
  </r>
  <r>
    <x v="24"/>
    <x v="71"/>
    <s v="D6x11 +พร้อมระบบภาพและเสียง"/>
    <s v="ทิวาพร คาดีวี"/>
  </r>
  <r>
    <x v="24"/>
    <x v="70"/>
    <s v="Central monitor"/>
    <s v="ธเนส ภูมิสุราษฎร์"/>
  </r>
  <r>
    <x v="24"/>
    <x v="71"/>
    <s v="Central Telemed"/>
    <s v="ทิวาพร คาดีวี"/>
  </r>
  <r>
    <x v="24"/>
    <x v="68"/>
    <s v="DC70"/>
    <s v="อัญชรี ทีหอคำ"/>
  </r>
  <r>
    <x v="24"/>
    <x v="70"/>
    <s v="PM 60"/>
    <s v="ธเนส ภูมิสุราษฎร์"/>
  </r>
  <r>
    <x v="24"/>
    <x v="72"/>
    <s v="Hyport3000 No Arm"/>
    <s v="ธเนส ภูมิสุราษฎร์"/>
  </r>
  <r>
    <x v="24"/>
    <x v="70"/>
    <s v="VS-900"/>
    <s v="ธเนส ภูมิสุราษฎร์"/>
  </r>
  <r>
    <x v="24"/>
    <x v="73"/>
    <s v="VS600"/>
    <s v="ธเนส ภูมิสุราษฎร์"/>
  </r>
  <r>
    <x v="24"/>
    <x v="70"/>
    <s v="RBP-1000"/>
    <s v="กชกร ดวงบุญ"/>
  </r>
  <r>
    <x v="24"/>
    <x v="33"/>
    <s v="D1 Trainer"/>
    <s v="ทิวาพร คาดีวี"/>
  </r>
  <r>
    <x v="24"/>
    <x v="71"/>
    <s v="D6 Telamed"/>
    <s v="ทิวาพร คาดีวี"/>
  </r>
  <r>
    <x v="24"/>
    <x v="70"/>
    <s v="ePM 12"/>
    <s v="ธเนส ภูมิสุราษฎร์"/>
  </r>
  <r>
    <x v="24"/>
    <x v="66"/>
    <s v="เตียงผู้ป่วยสามไกราวสไลด์ ตู้ข้างเตียง เเละถาดคร่อมเตียง"/>
    <s v="วุฒิชัย สุนทรานนท์"/>
  </r>
  <r>
    <x v="24"/>
    <x v="66"/>
    <s v="HyLED760/730"/>
    <s v="วุฒิชัย สุนทรานนท์"/>
  </r>
  <r>
    <x v="24"/>
    <x v="68"/>
    <s v="DC 60"/>
    <s v="อัญชรี ทีหอคำ"/>
  </r>
  <r>
    <x v="24"/>
    <x v="70"/>
    <s v="ePM15 + Co2"/>
    <s v="ธเนส ภูมิสุราษฎร์"/>
  </r>
  <r>
    <x v="24"/>
    <x v="72"/>
    <s v="Hyport 3000 double"/>
    <s v="ธเนส ภูมิสุราษฎร์"/>
  </r>
  <r>
    <x v="24"/>
    <x v="71"/>
    <s v="CMS +D6"/>
    <s v="ทิวาพร คาดีวี"/>
  </r>
  <r>
    <x v="24"/>
    <x v="70"/>
    <s v="N1 STD"/>
    <s v="ธเนส ภูมิสุราษฎร์"/>
  </r>
  <r>
    <x v="24"/>
    <x v="70"/>
    <s v="N12 STD"/>
    <s v="ธเนส ภูมิสุราษฎร์"/>
  </r>
  <r>
    <x v="24"/>
    <x v="70"/>
    <s v="CMS +N15"/>
    <s v="ธเนส ภูมิสุราษฎร์"/>
  </r>
  <r>
    <x v="24"/>
    <x v="70"/>
    <s v="Central"/>
    <s v="ธเนส ภูมิสุราษฎร์"/>
  </r>
  <r>
    <x v="24"/>
    <x v="70"/>
    <s v="Central N12"/>
    <s v="ธเนส ภูมิสุราษฎร์"/>
  </r>
  <r>
    <x v="24"/>
    <x v="74"/>
    <s v="T1"/>
    <s v="ธเนส ภูมิสุราษฎร์"/>
  </r>
  <r>
    <x v="24"/>
    <x v="71"/>
    <s v="Telemed"/>
    <s v="ทิวาพร คาดีวี"/>
  </r>
  <r>
    <x v="24"/>
    <x v="70"/>
    <s v="CMS + N12"/>
    <s v="ธเนส ภูมิสุราษฎร์"/>
  </r>
  <r>
    <x v="24"/>
    <x v="70"/>
    <s v="CMS+ 4N12"/>
    <s v="ธเนส ภูมิสุราษฎร์"/>
  </r>
  <r>
    <x v="24"/>
    <x v="70"/>
    <s v="CMS+ 8N12"/>
    <s v="ธเนส ภูมิสุราษฎร์"/>
  </r>
  <r>
    <x v="24"/>
    <x v="70"/>
    <s v="CMS+ Defibrillator tele"/>
    <s v="ธเนส ภูมิสุราษฎร์"/>
  </r>
  <r>
    <x v="24"/>
    <x v="72"/>
    <s v="Hyport3000 Double arm+HyLed200"/>
    <s v="ธเนส ภูมิสุราษฎร์"/>
  </r>
  <r>
    <x v="24"/>
    <x v="70"/>
    <s v="ePM 15+IBP+Co2"/>
    <s v="ธเนส ภูมิสุราษฎร์"/>
  </r>
  <r>
    <x v="24"/>
    <x v="70"/>
    <s v="N15+Co2"/>
    <s v="ธเนส ภูมิสุราษฎร์"/>
  </r>
  <r>
    <x v="24"/>
    <x v="70"/>
    <s v="CMS+ N12"/>
    <s v="ธเนส ภูมิสุราษฎร์"/>
  </r>
  <r>
    <x v="24"/>
    <x v="70"/>
    <s v="CMS + 8ePM+IBP+Co2"/>
    <s v="ธเนส ภูมิสุราษฎร์"/>
  </r>
  <r>
    <x v="24"/>
    <x v="75"/>
    <s v="D3 Sat BP"/>
    <s v="ทิวาพร คาดีวี"/>
  </r>
  <r>
    <x v="24"/>
    <x v="71"/>
    <s v="D6 Telemed+VS900"/>
    <s v="ทิวาพร คาดีวี"/>
  </r>
  <r>
    <x v="24"/>
    <x v="71"/>
    <s v="D6 Telemed"/>
    <s v="ทิวาพร คาดีวี"/>
  </r>
  <r>
    <x v="24"/>
    <x v="66"/>
    <s v="OR Table for Neurologist"/>
    <s v="วุฒิชัย สุนทรานนท์"/>
  </r>
  <r>
    <x v="24"/>
    <x v="71"/>
    <s v="D3(1+4)"/>
    <s v="ทิวาพร คาดีวี"/>
  </r>
  <r>
    <x v="24"/>
    <x v="70"/>
    <s v="ePM(1+2)"/>
    <s v="ธเนส ภูมิสุราษฎร์"/>
  </r>
  <r>
    <x v="24"/>
    <x v="70"/>
    <s v="ePM12+Central 12เครื่อง"/>
    <s v="ธเนส ภูมิสุราษฎร์"/>
  </r>
  <r>
    <x v="24"/>
    <x v="70"/>
    <s v="CMS+epm+D3"/>
    <s v="ธเนส ภูมิสุราษฎร์"/>
  </r>
  <r>
    <x v="24"/>
    <x v="70"/>
    <s v="N12+IBP+4EtCo2+2EEG+1BIS+1N1"/>
    <s v="ธเนส ภูมิสุราษฎร์"/>
  </r>
  <r>
    <x v="24"/>
    <x v="68"/>
    <s v="DC-40Full HD"/>
    <s v="อัญชรี ทีหอคำ"/>
  </r>
  <r>
    <x v="24"/>
    <x v="71"/>
    <s v="CMS+ Defibrillator"/>
    <s v="ทิวาพร คาดีวี"/>
  </r>
  <r>
    <x v="24"/>
    <x v="76"/>
    <s v="PM-60"/>
    <s v="ธเนส ภูมิสุราษฎร์"/>
  </r>
  <r>
    <x v="24"/>
    <x v="68"/>
    <s v="DC-40 HD"/>
    <s v="อัญชรี ทีหอคำ"/>
  </r>
  <r>
    <x v="24"/>
    <x v="66"/>
    <s v="HyBase3000"/>
    <s v="วุฒิชัย สุนทรานนท์"/>
  </r>
  <r>
    <x v="24"/>
    <x v="71"/>
    <s v="ตู้ AEDติดผนัง"/>
    <s v="ทิวาพร คาดีวี"/>
  </r>
  <r>
    <x v="24"/>
    <x v="71"/>
    <s v="Central Tele"/>
    <s v="ทิวาพร คาดีวี"/>
  </r>
  <r>
    <x v="24"/>
    <x v="70"/>
    <s v="ePM 15 +CMS"/>
    <s v="ธเนส ภูมิสุราษฎร์"/>
  </r>
  <r>
    <x v="24"/>
    <x v="70"/>
    <s v="ePM12+CMS"/>
    <s v="ธเนส ภูมิสุราษฎร์"/>
  </r>
  <r>
    <x v="24"/>
    <x v="70"/>
    <s v="ePM+CMS"/>
    <s v="ธเนส ภูมิสุราษฎร์"/>
  </r>
  <r>
    <x v="24"/>
    <x v="66"/>
    <s v="OR Table"/>
    <s v="วุฒิชัย สุนทรานนท์"/>
  </r>
  <r>
    <x v="24"/>
    <x v="66"/>
    <s v="OR Light"/>
    <s v="วุฒิชัย สุนทรานนท์"/>
  </r>
  <r>
    <x v="24"/>
    <x v="70"/>
    <s v="ePM 10"/>
    <s v="ธเนส ภูมิสุราษฎร์"/>
  </r>
  <r>
    <x v="24"/>
    <x v="68"/>
    <s v="DC-39"/>
    <s v="อัญชรี ทีหอคำ"/>
  </r>
  <r>
    <x v="24"/>
    <x v="70"/>
    <s v="CMS Benevision"/>
    <s v="ธเนส ภูมิสุราษฎร์"/>
  </r>
  <r>
    <x v="24"/>
    <x v="70"/>
    <s v="CMS + e pm"/>
    <s v="ธเนส ภูมิสุราษฎร์"/>
  </r>
  <r>
    <x v="24"/>
    <x v="69"/>
    <s v="SV300 เช่าจำนวน 5 เครื่อง"/>
    <s v="ฐิติรัตน์ ตางาม"/>
  </r>
  <r>
    <x v="24"/>
    <x v="33"/>
    <s v="D1 Pro"/>
    <s v="ทิวาพร คาดีวี"/>
  </r>
  <r>
    <x v="24"/>
    <x v="70"/>
    <s v="ePM"/>
    <s v="ธเนส ภูมิสุราษฎร์"/>
  </r>
  <r>
    <x v="24"/>
    <x v="71"/>
    <s v="D6 with Co2"/>
    <s v="ทิวาพร คาดีวี"/>
  </r>
  <r>
    <x v="24"/>
    <x v="69"/>
    <s v="SV300 เช่าจำนวน 10 เครื่อง"/>
    <s v="ฐิติรัตน์ ตางาม"/>
  </r>
  <r>
    <x v="24"/>
    <x v="70"/>
    <s v="iMEC10+CMS"/>
    <s v="ธเนส ภูมิสุราษฎร์"/>
  </r>
  <r>
    <x v="24"/>
    <x v="33"/>
    <s v="D1+ตู้ตั้งพื้น"/>
    <s v="ทิวาพร คาดีวี"/>
  </r>
  <r>
    <x v="24"/>
    <x v="70"/>
    <s v="ePM15+N12"/>
    <s v="ธเนส ภูมิสุราษฎร์"/>
  </r>
  <r>
    <x v="24"/>
    <x v="70"/>
    <s v="ePM15+CMS"/>
    <s v="ธเนส ภูมิสุราษฎร์"/>
  </r>
  <r>
    <x v="24"/>
    <x v="68"/>
    <s v="35C50EA"/>
    <s v="อัญชรี ทีหอคำ"/>
  </r>
  <r>
    <x v="24"/>
    <x v="71"/>
    <s v="D3 Full Option IBP+Co2"/>
    <s v="ทิวาพร คาดีวี"/>
  </r>
  <r>
    <x v="24"/>
    <x v="73"/>
    <s v="HyLED100"/>
    <s v="วุฒิชัย สุนทรานนท์"/>
  </r>
  <r>
    <x v="24"/>
    <x v="69"/>
    <s v="0fes"/>
    <s v="ฐิติรัตน์ ตางาม"/>
  </r>
  <r>
    <x v="24"/>
    <x v="70"/>
    <s v="CMS+ N12/20"/>
    <s v="ธเนส ภูมิสุราษฎร์"/>
  </r>
  <r>
    <x v="24"/>
    <x v="70"/>
    <s v="BeneVision N1"/>
    <s v="ธเนส ภูมิสุราษฎร์"/>
  </r>
  <r>
    <x v="24"/>
    <x v="71"/>
    <s v="D6 Telemed + CMS"/>
    <s v="ทิวาพร คาดีวี"/>
  </r>
  <r>
    <x v="24"/>
    <x v="66"/>
    <s v="HyLED 9700"/>
    <s v="วุฒิชัย สุนทรานนท์"/>
  </r>
  <r>
    <x v="24"/>
    <x v="70"/>
    <s v="iMEC 10"/>
    <s v="ธเนส ภูมิสุราษฎร์"/>
  </r>
  <r>
    <x v="24"/>
    <x v="68"/>
    <s v="DC60 X-Insight"/>
    <s v="อัญชรี ทีหอคำ"/>
  </r>
  <r>
    <x v="24"/>
    <x v="70"/>
    <s v="CMS +ePM 15"/>
    <s v="ธเนส ภูมิสุราษฎร์"/>
  </r>
  <r>
    <x v="24"/>
    <x v="69"/>
    <s v="SV600 Full"/>
    <s v="ฐิติรัตน์ ตางาม"/>
  </r>
  <r>
    <x v="24"/>
    <x v="70"/>
    <s v="Central+N12/4ตัว"/>
    <s v="ธเนส ภูมิสุราษฎร์"/>
  </r>
  <r>
    <x v="24"/>
    <x v="70"/>
    <s v="Central+N12/8ตัว"/>
    <s v="ธเนส ภูมิสุราษฎร์"/>
  </r>
  <r>
    <x v="24"/>
    <x v="70"/>
    <s v="Central+ePM15/10ตัว"/>
    <s v="ธเนส ภูมิสุราษฎร์"/>
  </r>
  <r>
    <x v="24"/>
    <x v="68"/>
    <s v="DC30"/>
    <s v="อัญชรี ทีหอคำ"/>
  </r>
  <r>
    <x v="24"/>
    <x v="68"/>
    <s v="หัวตรวจV10-4s"/>
    <s v="อัญชรี ทีหอคำ"/>
  </r>
  <r>
    <x v="24"/>
    <x v="68"/>
    <s v="หัวตรวจC5-2s"/>
    <s v="อัญชรี ทีหอคำ"/>
  </r>
  <r>
    <x v="24"/>
    <x v="71"/>
    <s v="D3b ธรรมดา"/>
    <s v="ทิวาพร คาดีวี"/>
  </r>
  <r>
    <x v="24"/>
    <x v="70"/>
    <s v="CMS+N12 ถึง IBP x10 +_Module EtCO2x1"/>
    <s v="ธเนส ภูมิสุราษฎร์"/>
  </r>
  <r>
    <x v="24"/>
    <x v="70"/>
    <s v="N1 STD+Etco2 micro"/>
    <s v="ธเนส ภูมิสุราษฎร์"/>
  </r>
  <r>
    <x v="24"/>
    <x v="70"/>
    <s v="VS900 - exergen temp"/>
    <s v="ธเนส ภูมิสุราษฎร์"/>
  </r>
  <r>
    <x v="24"/>
    <x v="70"/>
    <s v="CMS+N15+N1IBP"/>
    <s v="ธเนส ภูมิสุราษฎร์"/>
  </r>
  <r>
    <x v="24"/>
    <x v="70"/>
    <s v="CMS+Telemed N17 +D3"/>
    <s v="ธเนส ภูมิสุราษฎร์"/>
  </r>
  <r>
    <x v="24"/>
    <x v="70"/>
    <s v="ePM10&quot;"/>
    <s v="ธเนส ภูมิสุราษฎร์"/>
  </r>
  <r>
    <x v="24"/>
    <x v="71"/>
    <s v="D3 SpO2 NIBP"/>
    <s v="ทิวาพร คาดีวี"/>
  </r>
  <r>
    <x v="24"/>
    <x v="70"/>
    <s v="vs900 nibp spo2 temp"/>
    <s v="ธเนส ภูมิสุราษฎร์"/>
  </r>
  <r>
    <x v="24"/>
    <x v="70"/>
    <s v="VS900 Spo2 NIBP"/>
    <s v="ธเนส ภูมิสุราษฎร์"/>
  </r>
  <r>
    <x v="24"/>
    <x v="77"/>
    <s v="SV300"/>
    <s v="ฐิติรัตน์ ตางาม"/>
  </r>
  <r>
    <x v="24"/>
    <x v="70"/>
    <s v="ePM12 STD MicroStream"/>
    <s v="ธเนส ภูมิสุราษฎร์"/>
  </r>
  <r>
    <x v="24"/>
    <x v="71"/>
    <s v="D3 SpO2"/>
    <s v="ทิวาพร คาดีวี"/>
  </r>
  <r>
    <x v="24"/>
    <x v="72"/>
    <s v="Hyport 8000 II"/>
    <s v="ธเนส ภูมิสุราษฎร์"/>
  </r>
  <r>
    <x v="24"/>
    <x v="70"/>
    <s v="VS900 BP+Sat wifi"/>
    <s v="ธเนส ภูมิสุราษฎร์"/>
  </r>
  <r>
    <x v="24"/>
    <x v="70"/>
    <s v="CMS"/>
    <s v="ธเนส ภูมิสุราษฎร์"/>
  </r>
  <r>
    <x v="24"/>
    <x v="70"/>
    <s v="ePM 12 STD"/>
    <s v="ธเนส ภูมิสุราษฎร์"/>
  </r>
  <r>
    <x v="24"/>
    <x v="70"/>
    <s v="CMS+N17+N1"/>
    <s v="ธเนส ภูมิสุราษฎร์"/>
  </r>
  <r>
    <x v="24"/>
    <x v="70"/>
    <s v="N15 Full"/>
    <s v="ธเนส ภูมิสุราษฎร์"/>
  </r>
  <r>
    <x v="24"/>
    <x v="70"/>
    <s v="N1 STD MicroStream"/>
    <s v="ธเนส ภูมิสุราษฎร์"/>
  </r>
  <r>
    <x v="24"/>
    <x v="70"/>
    <s v="ePM10 6 ตัว +CMS + epm12 2 ตัว"/>
    <s v="ธเนส ภูมิสุราษฎร์"/>
  </r>
  <r>
    <x v="24"/>
    <x v="67"/>
    <s v="Syring"/>
    <s v="ธเนส ภูมิสุราษฎร์"/>
  </r>
  <r>
    <x v="24"/>
    <x v="72"/>
    <s v="Hyport9000"/>
    <s v="ธเนส ภูมิสุราษฎร์"/>
  </r>
  <r>
    <x v="24"/>
    <x v="70"/>
    <s v="EPM12 CMS"/>
    <s v="ธเนส ภูมิสุราษฎร์"/>
  </r>
  <r>
    <x v="24"/>
    <x v="70"/>
    <s v="ePM10 CMS"/>
    <s v="ธเนส ภูมิสุราษฎร์"/>
  </r>
  <r>
    <x v="24"/>
    <x v="70"/>
    <s v="ePM15+Central"/>
    <s v="ธเนส ภูมิสุราษฎร์"/>
  </r>
  <r>
    <x v="24"/>
    <x v="33"/>
    <s v="AED D1"/>
    <s v="ทิวาพร คาดีวี"/>
  </r>
  <r>
    <x v="24"/>
    <x v="70"/>
    <s v="N12+N1"/>
    <s v="ธเนส ภูมิสุราษฎร์"/>
  </r>
  <r>
    <x v="24"/>
    <x v="70"/>
    <s v="ePM12 (Co2)"/>
    <s v="ธเนส ภูมิสุราษฎร์"/>
  </r>
  <r>
    <x v="24"/>
    <x v="70"/>
    <s v="ePM12 (IBP)"/>
    <s v="ธเนส ภูมิสุราษฎร์"/>
  </r>
  <r>
    <x v="24"/>
    <x v="71"/>
    <s v="D3 Sat BP (internal Paddle)"/>
    <s v="ทิวาพร คาดีวี"/>
  </r>
  <r>
    <x v="24"/>
    <x v="66"/>
    <s v="HyBase 6100 plus"/>
    <s v="วุฒิชัย สุนทรานนท์"/>
  </r>
  <r>
    <x v="24"/>
    <x v="66"/>
    <s v="HyLED X9/X5/X5"/>
    <s v="วุฒิชัย สุนทรานนท์"/>
  </r>
  <r>
    <x v="24"/>
    <x v="71"/>
    <s v="AED trainer"/>
    <s v="ทิวาพร คาดีวี"/>
  </r>
  <r>
    <x v="24"/>
    <x v="70"/>
    <s v="Cantral Monitor System"/>
    <s v="ธเนส ภูมิสุราษฎร์"/>
  </r>
  <r>
    <x v="24"/>
    <x v="70"/>
    <s v="iPM 12"/>
    <s v="ธเนส ภูมิสุราษฎร์"/>
  </r>
  <r>
    <x v="24"/>
    <x v="72"/>
    <s v="Hypory 3000 double arm"/>
    <s v="ธเนส ภูมิสุราษฎร์"/>
  </r>
  <r>
    <x v="24"/>
    <x v="71"/>
    <s v="CMS telamed"/>
    <s v="ทิวาพร คาดีวี"/>
  </r>
  <r>
    <x v="24"/>
    <x v="70"/>
    <s v="vs9oo"/>
    <s v="ธเนส ภูมิสุราษฎร์"/>
  </r>
  <r>
    <x v="24"/>
    <x v="68"/>
    <s v="C5D All in one"/>
    <s v="อัญชรี ทีหอคำ"/>
  </r>
  <r>
    <x v="24"/>
    <x v="71"/>
    <s v="D1+ตู้"/>
    <s v="ทิวาพร คาดีวี"/>
  </r>
  <r>
    <x v="24"/>
    <x v="70"/>
    <s v="Bp monitor"/>
    <s v="ธเนส ภูมิสุราษฎร์"/>
  </r>
  <r>
    <x v="24"/>
    <x v="70"/>
    <s v="Vs900 ต่อระบบ"/>
    <s v="ธเนส ภูมิสุราษฎร์"/>
  </r>
  <r>
    <x v="24"/>
    <x v="68"/>
    <s v="Dc 80"/>
    <s v="อัญชรี ทีหอคำ"/>
  </r>
  <r>
    <x v="24"/>
    <x v="70"/>
    <s v="CMS+N1+4ชุด"/>
    <s v="ธเนส ภูมิสุราษฎร์"/>
  </r>
  <r>
    <x v="24"/>
    <x v="70"/>
    <s v="Epm12/co2"/>
    <s v="ธเนส ภูมิสุราษฎร์"/>
  </r>
  <r>
    <x v="24"/>
    <x v="68"/>
    <s v="DC70 Xinsigth"/>
    <s v="อัญชรี ทีหอคำ"/>
  </r>
  <r>
    <x v="24"/>
    <x v="70"/>
    <s v="CMS + ePM /8 เตียง"/>
    <s v="ธเนส ภูมิสุราษฎร์"/>
  </r>
  <r>
    <x v="24"/>
    <x v="70"/>
    <s v="CMS + ePM /4 เตียง"/>
    <s v="ธเนส ภูมิสุราษฎร์"/>
  </r>
  <r>
    <x v="24"/>
    <x v="70"/>
    <s v="iMac10"/>
    <s v="ธเนส ภูมิสุราษฎร์"/>
  </r>
  <r>
    <x v="24"/>
    <x v="70"/>
    <s v="N1+Co2"/>
    <s v="ธเนส ภูมิสุราษฎร์"/>
  </r>
  <r>
    <x v="24"/>
    <x v="66"/>
    <s v="HyLed X9/X9"/>
    <s v="วุฒิชัย สุนทรานนท์"/>
  </r>
  <r>
    <x v="24"/>
    <x v="72"/>
    <s v="Single arm"/>
    <s v="ธเนส ภูมิสุราษฎร์"/>
  </r>
  <r>
    <x v="24"/>
    <x v="71"/>
    <s v="D3full"/>
    <s v="ทิวาพร คาดีวี"/>
  </r>
  <r>
    <x v="24"/>
    <x v="33"/>
    <s v="D1+ตู้+หุ่น"/>
    <s v="ทิวาพร คาดีวี"/>
  </r>
  <r>
    <x v="24"/>
    <x v="71"/>
    <s v="D1 Pro"/>
    <s v="ทิวาพร คาดีวี"/>
  </r>
  <r>
    <x v="24"/>
    <x v="71"/>
    <s v="D1+ตู้ตั้งพื้น"/>
    <s v="ทิวาพร คาดีวี"/>
  </r>
  <r>
    <x v="24"/>
    <x v="70"/>
    <s v="CMS +ePM"/>
    <s v="ธเนส ภูมิสุราษฎร์"/>
  </r>
  <r>
    <x v="25"/>
    <x v="78"/>
    <s v="BC410"/>
    <s v="วุฒิชัย สุนทรานนท์"/>
  </r>
  <r>
    <x v="25"/>
    <x v="0"/>
    <s v="LH630"/>
    <s v="วุฒิชัย สุนทรานนท์"/>
  </r>
  <r>
    <x v="25"/>
    <x v="0"/>
    <s v="LH610"/>
    <s v="วุฒิชัย สุนทรานนท์"/>
  </r>
  <r>
    <x v="25"/>
    <x v="0"/>
    <s v="LH601/S"/>
    <s v="วุฒิชัย สุนทรานนท์"/>
  </r>
  <r>
    <x v="25"/>
    <x v="78"/>
    <s v="BC-410"/>
    <s v="วุฒิชัย สุนทรานนท์"/>
  </r>
  <r>
    <x v="26"/>
    <x v="79"/>
    <s v="XScribe"/>
    <s v="อดิศร คำภาทู"/>
  </r>
  <r>
    <x v="26"/>
    <x v="80"/>
    <s v="TMX428 Treadmill"/>
    <s v="อดิศร คำภาทู"/>
  </r>
  <r>
    <x v="26"/>
    <x v="81"/>
    <s v="RScribe"/>
    <s v="อดิศร คำภาทู"/>
  </r>
  <r>
    <x v="26"/>
    <x v="81"/>
    <s v="CP150"/>
    <s v="อดิศร คำภาทู"/>
  </r>
  <r>
    <x v="26"/>
    <x v="81"/>
    <s v="ELI 230"/>
    <s v="อดิศร คำภาทู"/>
  </r>
  <r>
    <x v="26"/>
    <x v="81"/>
    <s v="ELI 250C"/>
    <s v="อดิศร คำภาทู"/>
  </r>
  <r>
    <x v="26"/>
    <x v="81"/>
    <s v="ELI 280"/>
    <s v="อดิศร คำภาทู"/>
  </r>
  <r>
    <x v="26"/>
    <x v="81"/>
    <s v="ELI 380"/>
    <s v="อดิศร คำภาทู"/>
  </r>
  <r>
    <x v="26"/>
    <x v="81"/>
    <s v="Accessorie"/>
    <s v="อดิศร คำภาทู"/>
  </r>
  <r>
    <x v="26"/>
    <x v="82"/>
    <s v="HScribe"/>
    <s v="อดิศร คำภาทู"/>
  </r>
  <r>
    <x v="26"/>
    <x v="82"/>
    <s v="H12+"/>
    <s v="อดิศร คำภาทู"/>
  </r>
  <r>
    <x v="26"/>
    <x v="82"/>
    <s v="H3+"/>
    <s v="อดิศร คำภาทู"/>
  </r>
  <r>
    <x v="26"/>
    <x v="82"/>
    <s v="Accessorie"/>
    <s v="อดิศร คำภาทู"/>
  </r>
  <r>
    <x v="26"/>
    <x v="82"/>
    <s v="Holtor"/>
    <s v="อดิศร คำภาทู"/>
  </r>
  <r>
    <x v="26"/>
    <x v="81"/>
    <s v="EKG 250c motara"/>
    <s v="อดิศร คำภาทู"/>
  </r>
  <r>
    <x v="26"/>
    <x v="81"/>
    <s v="EKG 280"/>
    <s v="อดิศร คำภาทู"/>
  </r>
  <r>
    <x v="26"/>
    <x v="81"/>
    <s v="ELI250c"/>
    <s v="อดิศร คำภาทู"/>
  </r>
  <r>
    <x v="26"/>
    <x v="81"/>
    <s v="ELI280"/>
    <s v="อดิศร คำภาทู"/>
  </r>
  <r>
    <x v="26"/>
    <x v="82"/>
    <s v="Holter H12+"/>
    <s v="อดิศร คำภาทู"/>
  </r>
  <r>
    <x v="26"/>
    <x v="81"/>
    <s v="EKG 250 C Burdick"/>
    <s v="อดิศร คำภาทู"/>
  </r>
  <r>
    <x v="26"/>
    <x v="81"/>
    <s v="ELI250"/>
    <s v="อดิศร คำภาทู"/>
  </r>
  <r>
    <x v="26"/>
    <x v="81"/>
    <s v="ELI250c dicom"/>
    <s v="อดิศร คำภาทู"/>
  </r>
  <r>
    <x v="26"/>
    <x v="81"/>
    <s v="ชุดคอมพิวเตอร์พร้อมโปรเเกรมวิเคระห์ผลคลื่นหัวใจไฟฟ้าสำหรับเครื่องบันทึกการทำงานของหัวใจ24 ชั่วโมง"/>
    <s v="อดิศร คำภาทู"/>
  </r>
  <r>
    <x v="26"/>
    <x v="79"/>
    <s v="Q-Stress"/>
    <s v="อดิศร คำภาทู"/>
  </r>
  <r>
    <x v="26"/>
    <x v="83"/>
    <s v="ELI250c"/>
    <s v="อดิศร คำภาทู"/>
  </r>
  <r>
    <x v="26"/>
    <x v="82"/>
    <s v="H12"/>
    <s v="อดิศร คำภาทู"/>
  </r>
  <r>
    <x v="26"/>
    <x v="82"/>
    <s v="H-Scribe"/>
    <s v="อดิศร คำภาทู"/>
  </r>
  <r>
    <x v="26"/>
    <x v="81"/>
    <s v="Mortara ELI250c dicom"/>
    <s v="อดิศร คำภาทู"/>
  </r>
  <r>
    <x v="26"/>
    <x v="81"/>
    <s v="Mortara ELI 250c"/>
    <s v="อดิศร คำภาทู"/>
  </r>
  <r>
    <x v="26"/>
    <x v="81"/>
    <s v="Accessorie"/>
    <s v="ธเนส ภูมิสุราษฎร์"/>
  </r>
  <r>
    <x v="26"/>
    <x v="82"/>
    <s v="H Scribe 5"/>
    <s v="อดิศร คำภาทู"/>
  </r>
  <r>
    <x v="26"/>
    <x v="81"/>
    <s v="ELi280c"/>
    <s v="อดิศร คำภาทู"/>
  </r>
  <r>
    <x v="26"/>
    <x v="82"/>
    <s v="Hscribe+H12"/>
    <s v="อดิศร คำภาทู"/>
  </r>
  <r>
    <x v="26"/>
    <x v="82"/>
    <s v="Hscribe +h3 5 ตัว"/>
    <s v="อดิศร คำภาทู"/>
  </r>
  <r>
    <x v="26"/>
    <x v="80"/>
    <s v="TMX428 Treadmill+BP"/>
    <s v="อดิศร คำภาทู"/>
  </r>
  <r>
    <x v="26"/>
    <x v="82"/>
    <s v="H Scribe"/>
    <s v="อดิศร คำภาทู"/>
  </r>
  <r>
    <x v="26"/>
    <x v="82"/>
    <s v="H Scribe+H3"/>
    <s v="อดิศร คำภาทู"/>
  </r>
  <r>
    <x v="26"/>
    <x v="82"/>
    <s v="H3"/>
    <s v="อดิศร คำภาทู"/>
  </r>
  <r>
    <x v="26"/>
    <x v="81"/>
    <s v="ELI280C Wam"/>
    <s v="อดิศร คำภาทู"/>
  </r>
  <r>
    <x v="26"/>
    <x v="82"/>
    <s v="Holer"/>
    <s v="อดิศร คำภาทู"/>
  </r>
  <r>
    <x v="26"/>
    <x v="79"/>
    <s v="Q- stress"/>
    <s v="อดิศร คำภาทู"/>
  </r>
  <r>
    <x v="27"/>
    <x v="84"/>
    <s v="MU1 Series"/>
    <s v="อัญชรี ทีหอคำ"/>
  </r>
  <r>
    <x v="28"/>
    <x v="85"/>
    <s v="NT1D Series"/>
    <s v="ธเนส ภูมิสุราษฎร์"/>
  </r>
  <r>
    <x v="28"/>
    <x v="85"/>
    <s v="Accessorie"/>
    <s v="ธเนส ภูมิสุราษฎร์"/>
  </r>
  <r>
    <x v="28"/>
    <x v="85"/>
    <s v="NT1D Series"/>
    <s v="ธเนส ภูมิสุราษฎร์2"/>
  </r>
  <r>
    <x v="28"/>
    <x v="85"/>
    <s v="Accessorie"/>
    <s v="ธเนส ภูมิสุราษฎร์2"/>
  </r>
  <r>
    <x v="29"/>
    <x v="79"/>
    <s v="Q-Stress"/>
    <s v="อดิศร คำภาทู"/>
  </r>
  <r>
    <x v="29"/>
    <x v="79"/>
    <s v="ชุด Upgrade"/>
    <s v="อดิศร คำภาทู"/>
  </r>
  <r>
    <x v="29"/>
    <x v="79"/>
    <s v="Accessorie"/>
    <s v="อดิศร คำภาทู"/>
  </r>
  <r>
    <x v="29"/>
    <x v="79"/>
    <s v="Q-Stress+Ergo select 600"/>
    <s v="อดิศร คำภาทู"/>
  </r>
  <r>
    <x v="29"/>
    <x v="79"/>
    <s v="Q-Stress upgrad"/>
    <s v="อดิศร คำภาทู"/>
  </r>
  <r>
    <x v="30"/>
    <x v="86"/>
    <s v="RBP-1000"/>
    <s v="กชกร ดวงบุญ"/>
  </r>
  <r>
    <x v="30"/>
    <x v="87"/>
    <s v="SK-L08"/>
    <s v="กชกร ดวงบุญ"/>
  </r>
  <r>
    <x v="30"/>
    <x v="86"/>
    <s v="SK-L08+Raycome"/>
    <s v="กชกร ดวงบุญ"/>
  </r>
  <r>
    <x v="31"/>
    <x v="88"/>
    <s v="Astral100"/>
    <s v="ฐิติรัตน์ ตางาม"/>
  </r>
  <r>
    <x v="31"/>
    <x v="88"/>
    <s v="Astral150"/>
    <s v="ฐิติรัตน์ ตางาม"/>
  </r>
  <r>
    <x v="31"/>
    <x v="88"/>
    <s v="Stellar100"/>
    <s v="ฐิติรัตน์ ตางาม"/>
  </r>
  <r>
    <x v="31"/>
    <x v="88"/>
    <s v="Stellar150"/>
    <s v="ฐิติรัตน์ ตางาม"/>
  </r>
  <r>
    <x v="31"/>
    <x v="88"/>
    <s v="Lumis100"/>
    <s v="ฐิติรัตน์ ตางาม"/>
  </r>
  <r>
    <x v="31"/>
    <x v="88"/>
    <s v="Lumis150"/>
    <s v="ฐิติรัตน์ ตางาม"/>
  </r>
  <r>
    <x v="31"/>
    <x v="50"/>
    <s v="AirSense10 Auto Set"/>
    <s v="ฐิติรัตน์ ตางาม"/>
  </r>
  <r>
    <x v="31"/>
    <x v="50"/>
    <s v="AirSense10 Auto For HER"/>
    <s v="ฐิติรัตน์ ตางาม"/>
  </r>
  <r>
    <x v="31"/>
    <x v="50"/>
    <s v="AirMINI"/>
    <s v="ฐิติรัตน์ ตางาม"/>
  </r>
  <r>
    <x v="31"/>
    <x v="50"/>
    <s v="Aircurve10V Auto"/>
    <s v="ฐิติรัตน์ ตางาม"/>
  </r>
  <r>
    <x v="31"/>
    <x v="50"/>
    <s v="AirSense10 Elite"/>
    <s v="ฐิติรัตน์ ตางาม"/>
  </r>
  <r>
    <x v="31"/>
    <x v="50"/>
    <s v="AirStart10 APAP"/>
    <s v="ฐิติรัตน์ ตางาม"/>
  </r>
  <r>
    <x v="31"/>
    <x v="89"/>
    <s v="Accessories"/>
    <s v="ฐิติรัตน์ ตางาม"/>
  </r>
  <r>
    <x v="31"/>
    <x v="90"/>
    <s v="Resmed"/>
    <s v="ฐิติรัตน์ ตางาม"/>
  </r>
  <r>
    <x v="31"/>
    <x v="88"/>
    <s v="Astral 150"/>
    <s v="ฐิติรัตน์ ตางาม"/>
  </r>
  <r>
    <x v="31"/>
    <x v="88"/>
    <s v="Stellra150"/>
    <s v="ฐิติรัตน์ ตางาม"/>
  </r>
  <r>
    <x v="32"/>
    <x v="91"/>
    <s v="Step one"/>
    <s v="อดิศร คำภาทู"/>
  </r>
  <r>
    <x v="33"/>
    <x v="92"/>
    <s v="QG-2138"/>
    <s v="วุฒิชัย สุนทรานนท์"/>
  </r>
  <r>
    <x v="33"/>
    <x v="92"/>
    <s v="QG-2128"/>
    <s v="วุฒิชัย สุนทรานนท์"/>
  </r>
  <r>
    <x v="33"/>
    <x v="92"/>
    <s v="QG-2152"/>
    <s v="วุฒิชัย สุนทรานนท์"/>
  </r>
  <r>
    <x v="33"/>
    <x v="92"/>
    <s v="QG-3048"/>
    <s v="วุฒิชัย สุนทรานนท์"/>
  </r>
  <r>
    <x v="33"/>
    <x v="92"/>
    <s v="QG-3052"/>
    <s v="วุฒิชัย สุนทรานนท์"/>
  </r>
  <r>
    <x v="33"/>
    <x v="92"/>
    <s v="QG-3032"/>
    <s v="วุฒิชัย สุนทรานนท์"/>
  </r>
  <r>
    <x v="33"/>
    <x v="93"/>
    <s v="QG-3490"/>
    <s v="วุฒิชัย สุนทรานนท์"/>
  </r>
  <r>
    <x v="33"/>
    <x v="93"/>
    <s v="QG-3580"/>
    <s v="วุฒิชัย สุนทรานนท์"/>
  </r>
  <r>
    <x v="33"/>
    <x v="93"/>
    <s v="QG-3320"/>
    <s v="วุฒิชัย สุนทรานนท์"/>
  </r>
  <r>
    <x v="33"/>
    <x v="93"/>
    <s v="QG-3430"/>
    <s v="วุฒิชัย สุนทรานนท์"/>
  </r>
  <r>
    <x v="33"/>
    <x v="94"/>
    <s v="EN-1039"/>
    <s v="วุฒิชัย สุนทรานนท์"/>
  </r>
  <r>
    <x v="33"/>
    <x v="94"/>
    <s v="EN-1029"/>
    <s v="วุฒิชัย สุนทรานนท์"/>
  </r>
  <r>
    <x v="33"/>
    <x v="94"/>
    <s v="EN-1249"/>
    <s v="วุฒิชัย สุนทรานนท์"/>
  </r>
  <r>
    <x v="33"/>
    <x v="95"/>
    <s v="UR-1331"/>
    <s v="วุฒิชัย สุนทรานนท์"/>
  </r>
  <r>
    <x v="33"/>
    <x v="96"/>
    <s v="UR-1355"/>
    <s v="วุฒิชัย สุนทรานนท์"/>
  </r>
  <r>
    <x v="33"/>
    <x v="96"/>
    <s v="UR-1356"/>
    <s v="วุฒิชัย สุนทรานนท์"/>
  </r>
  <r>
    <x v="33"/>
    <x v="97"/>
    <s v="CV-1030"/>
    <s v="วุฒิชัย สุนทรานนท์"/>
  </r>
  <r>
    <x v="33"/>
    <x v="97"/>
    <s v="CV-1080"/>
    <s v="วุฒิชัย สุนทรานนท์"/>
  </r>
  <r>
    <x v="33"/>
    <x v="92"/>
    <s v="QG-3430"/>
    <s v="วุฒิชัย สุนทรานนท์"/>
  </r>
  <r>
    <x v="33"/>
    <x v="93"/>
    <s v="QG-3052"/>
    <s v="วุฒิชัย สุนทรานนท์"/>
  </r>
  <r>
    <x v="33"/>
    <x v="92"/>
    <s v="QG-3048+QG-3430+QG-2152"/>
    <s v="วุฒิชัย สุนทรานนท์"/>
  </r>
  <r>
    <x v="34"/>
    <x v="98"/>
    <s v="sentec"/>
    <s v="ฐิติรัตน์ ตางาม"/>
  </r>
  <r>
    <x v="34"/>
    <x v="89"/>
    <s v="Accessories"/>
    <s v="ฐิติรัตน์ ตางาม"/>
  </r>
  <r>
    <x v="34"/>
    <x v="98"/>
    <s v="Sentec PCO2"/>
    <s v="ฐิติรัตน์ ตางาม"/>
  </r>
  <r>
    <x v="35"/>
    <x v="99"/>
    <s v="Skintact"/>
    <s v="ทิวาพร คาดีวี"/>
  </r>
  <r>
    <x v="36"/>
    <x v="100"/>
    <s v="Somnomedics"/>
    <s v="ฐิติรัตน์ ตางาม"/>
  </r>
  <r>
    <x v="36"/>
    <x v="89"/>
    <s v="Accessories"/>
    <s v="ฐิติรัตน์ ตางาม"/>
  </r>
  <r>
    <x v="36"/>
    <x v="100"/>
    <s v="SOMNO HD EEG32"/>
    <s v="ฐิติรัตน์ ตางาม"/>
  </r>
  <r>
    <x v="36"/>
    <x v="100"/>
    <s v="SOMNO HD"/>
    <s v="ฐิติรัตน์ ตางาม"/>
  </r>
  <r>
    <x v="36"/>
    <x v="100"/>
    <s v="Somnotouch RESP"/>
    <s v="ฐิติรัตน์ ตางาม"/>
  </r>
  <r>
    <x v="36"/>
    <x v="100"/>
    <s v="somno HD PSG"/>
    <s v="ฐิติรัตน์ ตางาม"/>
  </r>
  <r>
    <x v="36"/>
    <x v="100"/>
    <s v="Somno Touch"/>
    <s v="ฐิติรัตน์ ตางาม"/>
  </r>
  <r>
    <x v="36"/>
    <x v="100"/>
    <s v="Somno Touch ECO"/>
    <s v="ฐิติรัตน์ ตางาม"/>
  </r>
  <r>
    <x v="36"/>
    <x v="100"/>
    <s v="somno HD ECO"/>
    <s v="ฐิติรัตน์ ตางาม"/>
  </r>
  <r>
    <x v="37"/>
    <x v="87"/>
    <s v="SK-X60"/>
    <s v="กชกร ดวงบุญ"/>
  </r>
  <r>
    <x v="37"/>
    <x v="87"/>
    <s v="SK-X80T"/>
    <s v="กชกร ดวงบุญ"/>
  </r>
  <r>
    <x v="37"/>
    <x v="87"/>
    <s v="SK-L08"/>
    <s v="กชกร ดวงบุญ"/>
  </r>
  <r>
    <x v="37"/>
    <x v="87"/>
    <s v="SK-V9"/>
    <s v="กชกร ดวงบุญ"/>
  </r>
  <r>
    <x v="37"/>
    <x v="87"/>
    <s v="SK-L08+Raycome"/>
    <s v="กชกร ดวงบุญ"/>
  </r>
  <r>
    <x v="37"/>
    <x v="87"/>
    <s v="SK-X60HD"/>
    <s v="กชกร ดวงบุญ"/>
  </r>
  <r>
    <x v="37"/>
    <x v="87"/>
    <s v="SK-X60"/>
    <s v="สุภาวิณี แย้มสุวรรณา"/>
  </r>
  <r>
    <x v="37"/>
    <x v="87"/>
    <s v="SK-L08+BP racom"/>
    <s v="กชกร ดวงบุญ"/>
  </r>
  <r>
    <x v="37"/>
    <x v="87"/>
    <s v="L08+Laycom"/>
    <s v="กชกร ดวงบุญ"/>
  </r>
  <r>
    <x v="38"/>
    <x v="84"/>
    <s v="C5D"/>
    <s v="อัญชรี ทีหอคำ"/>
  </r>
  <r>
    <x v="38"/>
    <x v="84"/>
    <s v="C5C"/>
    <s v="อัญชรี ทีหอคำ"/>
  </r>
  <r>
    <x v="38"/>
    <x v="84"/>
    <s v="C5D+IPAD"/>
    <s v="อัญชรี ทีหอคำ"/>
  </r>
  <r>
    <x v="38"/>
    <x v="84"/>
    <s v="Ultrasound port."/>
    <s v="อัญชรี ทีหอคำ"/>
  </r>
  <r>
    <x v="38"/>
    <x v="84"/>
    <s v="L10"/>
    <s v="อัญชรี ทีหอคำ"/>
  </r>
  <r>
    <x v="39"/>
    <x v="101"/>
    <s v="Cuff"/>
    <s v="อดิศร คำภาทู"/>
  </r>
  <r>
    <x v="40"/>
    <x v="86"/>
    <s v="BP500"/>
    <s v="สุภาวิณี แย้มสุวรรณา"/>
  </r>
  <r>
    <x v="40"/>
    <x v="86"/>
    <s v="BP 500"/>
    <s v="กชกร ดวงบุญ"/>
  </r>
  <r>
    <x v="41"/>
    <x v="80"/>
    <s v="TMX428 Treadmill"/>
    <s v="อดิศร คำภาทู"/>
  </r>
  <r>
    <x v="42"/>
    <x v="102"/>
    <s v="BP+"/>
    <s v="อดิศร คำภาทู"/>
  </r>
  <r>
    <x v="42"/>
    <x v="103"/>
    <s v="USCOM"/>
    <s v="ฐิติรัตน์ ตางาม"/>
  </r>
  <r>
    <x v="42"/>
    <x v="89"/>
    <s v="Accessories"/>
    <s v="ฐิติรัตน์ ตางาม"/>
  </r>
  <r>
    <x v="43"/>
    <x v="104"/>
    <s v="กล้องติดรถ"/>
    <s v="ทิวาพร คาดีวี"/>
  </r>
  <r>
    <x v="43"/>
    <x v="104"/>
    <s v="BodyCam"/>
    <s v="ทิวาพร คาดีวี"/>
  </r>
  <r>
    <x v="44"/>
    <x v="105"/>
    <s v="Checkme Pro"/>
    <s v="สุภาวิณี แย้มสุวรรณา"/>
  </r>
  <r>
    <x v="44"/>
    <x v="105"/>
    <s v="Checkme Pro+AirBP"/>
    <s v="สุภาวิณี แย้มสุวรรณา"/>
  </r>
  <r>
    <x v="44"/>
    <x v="105"/>
    <s v="ชุดเครื่องวัดสัญญาณชีพผู้ป่วยแบบพกพา"/>
    <s v="สุภาวิณี แย้มสุวรรณา"/>
  </r>
  <r>
    <x v="44"/>
    <x v="86"/>
    <s v="Air BP"/>
    <s v="สุภาวิณี แย้มสุวรรณา"/>
  </r>
  <r>
    <x v="44"/>
    <x v="105"/>
    <s v="Checkme Lite"/>
    <s v="สุภาวิณี แย้มสุวรรณา"/>
  </r>
  <r>
    <x v="44"/>
    <x v="106"/>
    <s v="Visual Beat"/>
    <s v="สุภาวิณี แย้มสุวรรณา"/>
  </r>
  <r>
    <x v="44"/>
    <x v="106"/>
    <s v="DuoEK"/>
    <s v="สุภาวิณี แย้มสุวรรณา"/>
  </r>
  <r>
    <x v="44"/>
    <x v="105"/>
    <s v="ชุดตรวจเช็คสุขภาพเบื้องต้นของกลุ่มผู้ป่วยโรค NCDs"/>
    <s v="สุภาวิณี แย้มสุวรรณา"/>
  </r>
  <r>
    <x v="44"/>
    <x v="105"/>
    <s v="Checkme Pro+AirBP"/>
    <s v="กัญญ์วรา เลิศศุภวิทย์นภา"/>
  </r>
  <r>
    <x v="44"/>
    <x v="86"/>
    <s v="AirBP"/>
    <s v="สุภาวิณี แย้มสุวรรณา"/>
  </r>
  <r>
    <x v="44"/>
    <x v="105"/>
    <s v="Checkme Pro,Checkme Lite, AirBP"/>
    <s v="สุภาวิณี แย้มสุวรรณา"/>
  </r>
  <r>
    <x v="44"/>
    <x v="105"/>
    <s v="Checkmr Pro"/>
    <s v="สุภาวิณี แย้มสุวรรณา"/>
  </r>
  <r>
    <x v="44"/>
    <x v="105"/>
    <s v="checkme Pro/Air BP/Blood glucose"/>
    <s v="สุภาวิณี แย้มสุวรรณา"/>
  </r>
  <r>
    <x v="44"/>
    <x v="106"/>
    <s v="Checkme Lite"/>
    <s v="สุภาวิณี แย้มสุวรรณา"/>
  </r>
  <r>
    <x v="44"/>
    <x v="106"/>
    <s v="Checkme Pro"/>
    <s v="สุภาวิณี แย้มสุวรรณา"/>
  </r>
  <r>
    <x v="45"/>
    <x v="107"/>
    <s v="High Flow ผู้ใหญ่"/>
    <s v="ฐิติรัตน์ ตางาม"/>
  </r>
  <r>
    <x v="45"/>
    <x v="107"/>
    <s v="High Flow เด็ก"/>
    <s v="ฐิติรัตน์ ตางาม"/>
  </r>
  <r>
    <x v="45"/>
    <x v="108"/>
    <s v="High Flow ผู้ใหญ่"/>
    <s v="ฐิติรัตน์ ตางาม"/>
  </r>
  <r>
    <x v="45"/>
    <x v="109"/>
    <s v="High Flow ผู้ใหญ่"/>
    <s v="ฐิติรัตน์ ตางาม"/>
  </r>
  <r>
    <x v="45"/>
    <x v="108"/>
    <s v="High Flow เด็ก"/>
    <s v="ฐิติรัตน์ ตางาม"/>
  </r>
  <r>
    <x v="46"/>
    <x v="110"/>
    <s v="Vivo 500"/>
    <s v="ธเนส ภูมิสุราษฎร์"/>
  </r>
  <r>
    <x v="46"/>
    <x v="110"/>
    <s v="Vivo 500"/>
    <s v="ธเนส ภูมิสุราษฎร์2"/>
  </r>
  <r>
    <x v="47"/>
    <x v="111"/>
    <s v="Laryngoscope Set LED"/>
    <s v="กชกร ดวงบุญ"/>
  </r>
  <r>
    <x v="47"/>
    <x v="111"/>
    <s v="Standart E-Mac Case"/>
    <s v="กชกร ดวงบุญ"/>
  </r>
  <r>
    <x v="47"/>
    <x v="112"/>
    <s v="ชุด1 97150-BI"/>
    <s v="กชกร ดวงบุญ"/>
  </r>
  <r>
    <x v="47"/>
    <x v="112"/>
    <s v="ชุด2 97170-BI"/>
    <s v="กชกร ดวงบุญ"/>
  </r>
  <r>
    <x v="47"/>
    <x v="112"/>
    <s v="ชุด3 071250-BI"/>
    <s v="กชกร ดวงบุญ"/>
  </r>
  <r>
    <x v="47"/>
    <x v="112"/>
    <s v="ชุด4 97250-BIL"/>
    <s v="กชกร ดวงบุญ"/>
  </r>
  <r>
    <x v="47"/>
    <x v="112"/>
    <s v="ชุุด5"/>
    <s v="กชกร ดวงบุญ"/>
  </r>
  <r>
    <x v="47"/>
    <x v="112"/>
    <s v="ชุด6"/>
    <s v="กชกร ดวงบุญ"/>
  </r>
  <r>
    <x v="47"/>
    <x v="112"/>
    <s v="ชุด7"/>
    <s v="กชกร ดวงบุญ"/>
  </r>
  <r>
    <x v="47"/>
    <x v="111"/>
    <s v="Miller Blade"/>
    <s v="กชกร ดวงบุญ"/>
  </r>
  <r>
    <x v="47"/>
    <x v="113"/>
    <s v="Exam Light IV"/>
    <s v="กชกร ดวงบุญ"/>
  </r>
  <r>
    <x v="47"/>
    <x v="111"/>
    <s v="MacIntosh Blade"/>
    <s v="กชกร ดวงบุญ"/>
  </r>
  <r>
    <x v="47"/>
    <x v="113"/>
    <s v="GS300"/>
    <s v="กชกร ดวงบุญ"/>
  </r>
  <r>
    <x v="47"/>
    <x v="113"/>
    <s v="GS600"/>
    <s v="กชกร ดวงบุญ"/>
  </r>
  <r>
    <x v="47"/>
    <x v="111"/>
    <s v="Handel"/>
    <s v="กชกร ดวงบุญ"/>
  </r>
  <r>
    <x v="47"/>
    <x v="111"/>
    <s v="Accessorice"/>
    <s v="กชกร ดวงบุญ"/>
  </r>
  <r>
    <x v="47"/>
    <x v="114"/>
    <n v="11710"/>
    <s v="กชกร ดวงบุญ"/>
  </r>
  <r>
    <x v="47"/>
    <x v="115"/>
    <s v="VS-100S"/>
    <s v="กชกร ดวงบุญ"/>
  </r>
  <r>
    <x v="47"/>
    <x v="114"/>
    <s v="11720-L"/>
    <s v="กชกร ดวงบุญ"/>
  </r>
  <r>
    <x v="47"/>
    <x v="114"/>
    <s v="11820-L MacroView"/>
    <s v="กชกร ดวงบุญ"/>
  </r>
  <r>
    <x v="47"/>
    <x v="116"/>
    <s v="20000-L"/>
    <s v="กชกร ดวงบุญ"/>
  </r>
  <r>
    <x v="47"/>
    <x v="116"/>
    <n v="21700"/>
    <s v="กชกร ดวงบุญ"/>
  </r>
  <r>
    <x v="47"/>
    <x v="116"/>
    <s v="23810-L"/>
    <s v="กชกร ดวงบุญ"/>
  </r>
  <r>
    <x v="47"/>
    <x v="116"/>
    <n v="23920"/>
    <s v="กชกร ดวงบุญ"/>
  </r>
  <r>
    <x v="47"/>
    <x v="112"/>
    <s v="412851 Hard Case"/>
    <s v="กชกร ดวงบุญ"/>
  </r>
  <r>
    <x v="47"/>
    <x v="114"/>
    <s v="Accessories"/>
    <s v="กชกร ดวงบุญ"/>
  </r>
  <r>
    <x v="47"/>
    <x v="116"/>
    <s v="Accessories"/>
    <s v="กชกร ดวงบุญ"/>
  </r>
  <r>
    <x v="47"/>
    <x v="117"/>
    <s v="Mobile Aneroid"/>
    <s v="กชกร ดวงบุญ"/>
  </r>
  <r>
    <x v="47"/>
    <x v="117"/>
    <s v="Wall Aneroid"/>
    <s v="กชกร ดวงบุญ"/>
  </r>
  <r>
    <x v="47"/>
    <x v="117"/>
    <s v="Desk Gage"/>
    <s v="กชกร ดวงบุญ"/>
  </r>
  <r>
    <x v="47"/>
    <x v="117"/>
    <s v="Hand Aneroid"/>
    <s v="กชกร ดวงบุญ"/>
  </r>
  <r>
    <x v="47"/>
    <x v="117"/>
    <s v="Harvery DLX, Triple Head"/>
    <s v="กชกร ดวงบุญ"/>
  </r>
  <r>
    <x v="47"/>
    <x v="117"/>
    <s v="Harvery DLX, Double Head"/>
    <s v="กชกร ดวงบุญ"/>
  </r>
  <r>
    <x v="47"/>
    <x v="117"/>
    <s v="Professional Adult Stethoscope"/>
    <s v="กชกร ดวงบุญ"/>
  </r>
  <r>
    <x v="47"/>
    <x v="117"/>
    <s v="Professional Pediatric Stethoscope"/>
    <s v="กชกร ดวงบุญ"/>
  </r>
  <r>
    <x v="47"/>
    <x v="117"/>
    <s v="Accessories"/>
    <s v="กชกร ดวงบุญ"/>
  </r>
  <r>
    <x v="47"/>
    <x v="113"/>
    <s v="GS900"/>
    <s v="กชกร ดวงบุญ"/>
  </r>
  <r>
    <x v="47"/>
    <x v="113"/>
    <s v="Accessories"/>
    <s v="กชกร ดวงบุญ"/>
  </r>
  <r>
    <x v="47"/>
    <x v="89"/>
    <s v="Accessories"/>
    <s v="กชกร ดวงบุญ"/>
  </r>
  <r>
    <x v="47"/>
    <x v="118"/>
    <s v="GS600"/>
    <s v="กชกร ดวงบุญ"/>
  </r>
  <r>
    <x v="47"/>
    <x v="112"/>
    <s v="Diagnostic set #97170"/>
    <s v="กชกร ดวงบุญ"/>
  </r>
  <r>
    <x v="47"/>
    <x v="118"/>
    <s v="GS300"/>
    <s v="กชกร ดวงบุญ"/>
  </r>
  <r>
    <x v="47"/>
    <x v="112"/>
    <s v="เครื่องตรวจหู ตา"/>
    <s v="กชกร ดวงบุญ"/>
  </r>
  <r>
    <x v="47"/>
    <x v="112"/>
    <s v="#97150"/>
    <s v="กชกร ดวงบุญ"/>
  </r>
  <r>
    <x v="47"/>
    <x v="115"/>
    <s v="VS100-C"/>
    <s v="กชกร ดวงบุญ"/>
  </r>
  <r>
    <x v="47"/>
    <x v="111"/>
    <s v="Laryng 4Blade"/>
    <s v="กชกร ดวงบุญ"/>
  </r>
  <r>
    <x v="47"/>
    <x v="81"/>
    <s v="DC150"/>
    <s v="อดิศร คำภาทู"/>
  </r>
  <r>
    <x v="47"/>
    <x v="112"/>
    <s v="OTOSCOPE-OPHTHAL SET"/>
    <s v="กชกร ดวงบุญ"/>
  </r>
  <r>
    <x v="47"/>
    <x v="81"/>
    <s v="CP150 C Dicom"/>
    <s v="อดิศร คำภาทู"/>
  </r>
  <r>
    <x v="47"/>
    <x v="111"/>
    <s v="Laryngoscope"/>
    <s v="กชกร ดวงบุญ"/>
  </r>
  <r>
    <x v="47"/>
    <x v="119"/>
    <s v="Laryngoscope set LED"/>
    <s v="กชกร ดวงบุญ"/>
  </r>
  <r>
    <x v="47"/>
    <x v="120"/>
    <s v="Green series"/>
    <s v="กชกร ดวงบุญ"/>
  </r>
  <r>
    <x v="47"/>
    <x v="121"/>
    <s v="CP150"/>
    <s v="อดิศร คำภาทู"/>
  </r>
  <r>
    <x v="47"/>
    <x v="81"/>
    <s v="CP150"/>
    <s v="อดิศร คำภาทู"/>
  </r>
  <r>
    <x v="47"/>
    <x v="112"/>
    <s v="Diagnostic Set"/>
    <s v="กชกร ดวงบุญ"/>
  </r>
  <r>
    <x v="47"/>
    <x v="112"/>
    <s v="ชุด4"/>
    <s v="กชกร ดวงบุญ"/>
  </r>
  <r>
    <x v="47"/>
    <x v="111"/>
    <s v="Halogen"/>
    <s v="กชกร ดวงบุญ"/>
  </r>
  <r>
    <x v="47"/>
    <x v="112"/>
    <s v="97259-BIL"/>
    <s v="กชกร ดวงบุญ"/>
  </r>
  <r>
    <x v="47"/>
    <x v="112"/>
    <s v="97250-BIL"/>
    <s v="กชกร ดวงบุญ"/>
  </r>
  <r>
    <x v="47"/>
    <x v="112"/>
    <s v="97150-BI"/>
    <s v="กชกร ดวงบุญ"/>
  </r>
  <r>
    <x v="47"/>
    <x v="112"/>
    <s v="ชุดตรวจหู ตา"/>
    <s v="กชกร ดวงบุญ"/>
  </r>
  <r>
    <x v="47"/>
    <x v="111"/>
    <s v="Set LED"/>
    <s v="กชกร ดวงบุญ"/>
  </r>
  <r>
    <x v="47"/>
    <x v="122"/>
    <s v="Laryngoscope"/>
    <s v="กชกร ดวงบุญ"/>
  </r>
  <r>
    <x v="47"/>
    <x v="121"/>
    <s v="Otoscope"/>
    <s v="กชกร ดวงบุญ"/>
  </r>
  <r>
    <x v="47"/>
    <x v="89"/>
    <s v="Accessories"/>
    <s v="ฐิติรัตน์ ตางาม"/>
  </r>
  <r>
    <x v="47"/>
    <x v="112"/>
    <s v="ชุด3 97250-BI"/>
    <s v="กชกร ดวงบุญ"/>
  </r>
  <r>
    <x v="47"/>
    <x v="112"/>
    <s v="Otoscope 97204-VSM"/>
    <s v="กชกร ดวงบุญ"/>
  </r>
  <r>
    <x v="47"/>
    <x v="111"/>
    <s v="Fiber Optic Halogen Handle Set"/>
    <s v="กชกร ดวงบุญ"/>
  </r>
  <r>
    <x v="47"/>
    <x v="111"/>
    <s v="Set LED"/>
    <s v="ธเนส ภูมิสุราษฎร์"/>
  </r>
  <r>
    <x v="47"/>
    <x v="123"/>
    <s v="Pan Optic"/>
    <s v="กชกร ดวงบุญ"/>
  </r>
  <r>
    <x v="47"/>
    <x v="124"/>
    <s v="777 integrated wall system(77794-4)"/>
    <s v="กชกร ดวงบุญ"/>
  </r>
  <r>
    <x v="47"/>
    <x v="112"/>
    <s v="Otoscope Othalmoscope set"/>
    <s v="กชกร ดวงบุญ"/>
  </r>
  <r>
    <x v="47"/>
    <x v="112"/>
    <s v="ชุด1"/>
    <s v="กชกร ดวงบุญ"/>
  </r>
  <r>
    <x v="47"/>
    <x v="112"/>
    <s v="97800-MLS"/>
    <s v="กชกร ดวงบุญ"/>
  </r>
  <r>
    <x v="47"/>
    <x v="116"/>
    <s v="otoscope with lihum lon rechargeable"/>
    <s v="กชกร ดวงบุญ"/>
  </r>
  <r>
    <x v="47"/>
    <x v="112"/>
    <s v="Ophthalmoscope set"/>
    <s v="กชกร ดวงบุญ"/>
  </r>
  <r>
    <x v="47"/>
    <x v="89"/>
    <s v="Colledcord and Handle Assembly for wall Transformer"/>
    <s v="กชกร ดวงบุญ"/>
  </r>
  <r>
    <x v="47"/>
    <x v="112"/>
    <s v="97170-BI"/>
    <s v="กชกร ดวงบุญ"/>
  </r>
  <r>
    <x v="47"/>
    <x v="112"/>
    <s v="Professional Diagnostisce set # 97150-Bl"/>
    <s v="กชกร ดวงบุญ"/>
  </r>
  <r>
    <x v="47"/>
    <x v="112"/>
    <s v="3.5V Halogen Ophthalmoscope,LED 3.5V Diagnostic Otoscope set Handle C-cell Battery"/>
    <s v="กชกร ดวงบุญ"/>
  </r>
  <r>
    <x v="47"/>
    <x v="89"/>
    <s v="WA HPX #06500"/>
    <s v="กชกร ดวงบุญ"/>
  </r>
  <r>
    <x v="47"/>
    <x v="89"/>
    <s v="Ear Specula Reuseable 2,3,4,5"/>
    <s v="กชกร ดวงบุญ"/>
  </r>
  <r>
    <x v="47"/>
    <x v="89"/>
    <s v="Replacement Battery for Lithium Ion Handle #71960"/>
    <s v="กชกร ดวงบุญ"/>
  </r>
  <r>
    <x v="47"/>
    <x v="112"/>
    <s v="ชุดที่ 1"/>
    <s v="กชกร ดวงบุญ"/>
  </r>
  <r>
    <x v="47"/>
    <x v="113"/>
    <s v="Exam Light LV Moblie Stand #48812"/>
    <s v="กชกร ดวงบุญ"/>
  </r>
  <r>
    <x v="47"/>
    <x v="112"/>
    <s v="3.5V Coaxial Diagnostic set Handle Ni-cad #97270"/>
    <s v="กชกร ดวงบุญ"/>
  </r>
  <r>
    <x v="47"/>
    <x v="113"/>
    <s v="GS Exam Light IV"/>
    <s v="กชกร ดวงบุญ"/>
  </r>
  <r>
    <x v="47"/>
    <x v="112"/>
    <s v="ชุดที่ 2"/>
    <s v="กชกร ดวงบุญ"/>
  </r>
  <r>
    <x v="47"/>
    <x v="114"/>
    <s v="Accessories"/>
    <s v="ฐิติรัตน์ ตางาม"/>
  </r>
  <r>
    <x v="47"/>
    <x v="111"/>
    <s v="Blades 0.1.3.4"/>
    <s v="กชกร ดวงบุญ"/>
  </r>
  <r>
    <x v="47"/>
    <x v="125"/>
    <s v="Diagnostic set"/>
    <s v="กชกร ดวงบุญ"/>
  </r>
  <r>
    <x v="47"/>
    <x v="112"/>
    <s v="ชุด 5"/>
    <s v="กชกร ดวงบุญ"/>
  </r>
  <r>
    <x v="47"/>
    <x v="112"/>
    <s v="ชุด 5"/>
    <s v="สุภาวิณี แย้มสุวรรณา"/>
  </r>
  <r>
    <x v="47"/>
    <x v="113"/>
    <s v="Exam Light Mobile"/>
    <s v="กชกร ดวงบุญ"/>
  </r>
  <r>
    <x v="47"/>
    <x v="126"/>
    <s v="ชุดตรวจหูตา ชุดที่5"/>
    <s v="กชกร ดวงบุญ"/>
  </r>
  <r>
    <x v="47"/>
    <x v="127"/>
    <s v="2.75 mm Otoscope Specula #52432-U"/>
    <s v="กชกร ดวงบุญ"/>
  </r>
  <r>
    <x v="47"/>
    <x v="127"/>
    <s v="3 mm Otoscope Specula #52133"/>
    <s v="กชกร ดวงบุญ"/>
  </r>
  <r>
    <x v="47"/>
    <x v="127"/>
    <s v="4 mm Otoscope Specula # 52134"/>
    <s v="กชกร ดวงบุญ"/>
  </r>
  <r>
    <x v="47"/>
    <x v="127"/>
    <s v="4.25 mm Otoscope Specula # 52434-U"/>
    <s v="กชกร ดวงบุญ"/>
  </r>
  <r>
    <x v="47"/>
    <x v="127"/>
    <s v="5 mm Otoscope Specula #52135"/>
    <s v="กชกร ดวงบุญ"/>
  </r>
  <r>
    <x v="47"/>
    <x v="128"/>
    <s v="laryngoscope set"/>
    <s v="กชกร ดวงบุญ"/>
  </r>
  <r>
    <x v="47"/>
    <x v="112"/>
    <s v="ชุดจัดใหม่"/>
    <s v="กชกร ดวงบุญ"/>
  </r>
  <r>
    <x v="47"/>
    <x v="116"/>
    <s v="แบบติดผนัง"/>
    <s v="กชกร ดวงบุญ"/>
  </r>
  <r>
    <x v="47"/>
    <x v="116"/>
    <s v="mobile"/>
    <s v="กชกร ดวงบุญ"/>
  </r>
  <r>
    <x v="47"/>
    <x v="116"/>
    <s v="otoscope specula"/>
    <s v="กชกร ดวงบุญ"/>
  </r>
  <r>
    <x v="47"/>
    <x v="112"/>
    <s v="otoscope"/>
    <s v="กชกร ดวงบุญ"/>
  </r>
  <r>
    <x v="47"/>
    <x v="129"/>
    <s v="GS300"/>
    <s v="กชกร ดวงบุญ"/>
  </r>
  <r>
    <x v="47"/>
    <x v="130"/>
    <s v="Larygoscope Set LED"/>
    <s v="กชกร ดวงบุญ"/>
  </r>
  <r>
    <x v="47"/>
    <x v="131"/>
    <s v="Larygoscope Set LED"/>
    <s v="กชกร ดวงบุญ"/>
  </r>
  <r>
    <x v="47"/>
    <x v="132"/>
    <s v="Vision Scener"/>
    <s v="กชกร ดวงบุญ"/>
  </r>
  <r>
    <x v="47"/>
    <x v="111"/>
    <s v="Set led size C"/>
    <s v="กชกร ดวงบุญ"/>
  </r>
  <r>
    <x v="47"/>
    <x v="81"/>
    <s v="Eli280"/>
    <s v="อดิศร คำภาทู"/>
  </r>
  <r>
    <x v="47"/>
    <x v="133"/>
    <s v="Set1"/>
    <s v="กชกร ดวงบุญ"/>
  </r>
  <r>
    <x v="47"/>
    <x v="133"/>
    <s v="sat1"/>
    <s v="กชกร ดวงบุญ"/>
  </r>
  <r>
    <x v="47"/>
    <x v="134"/>
    <s v="Otoscope pthalmoscope"/>
    <s v="กชกร ดวงบุญ"/>
  </r>
  <r>
    <x v="47"/>
    <x v="135"/>
    <s v="GS777"/>
    <s v="กชกร ดวงบุญ"/>
  </r>
  <r>
    <x v="47"/>
    <x v="136"/>
    <s v="GS Exam"/>
    <s v="กชกร ดวงบุญ"/>
  </r>
  <r>
    <x v="48"/>
    <x v="121"/>
    <s v="CP150"/>
    <s v="อดิศร คำภาทู"/>
  </r>
  <r>
    <x v="49"/>
    <x v="37"/>
    <s v="PHI-01"/>
    <s v="ทิวาพร คาดีวี"/>
  </r>
  <r>
    <x v="49"/>
    <x v="37"/>
    <s v="PIH-01"/>
    <s v="ทิวาพร คาดีวี"/>
  </r>
  <r>
    <x v="49"/>
    <x v="37"/>
    <s v="PHI-01+D3 tele"/>
    <s v="ทิวาพร คาดีวี"/>
  </r>
  <r>
    <x v="50"/>
    <x v="137"/>
    <s v="Auto Pulse"/>
    <s v="ทิวาพร คาดีวี"/>
  </r>
  <r>
    <x v="50"/>
    <x v="33"/>
    <s v="AED Pro"/>
    <s v="ทิวาพร คาดีวี"/>
  </r>
  <r>
    <x v="50"/>
    <x v="138"/>
    <s v="Rseries Demo"/>
    <s v="ทิวาพร คาดีวี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EB41D-3B5C-45A4-B7C7-49A638366E9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3" firstHeaderRow="1" firstDataRow="1" firstDataCol="1"/>
  <pivotFields count="4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showAll="0">
      <items count="140">
        <item x="3"/>
        <item x="2"/>
        <item x="89"/>
        <item x="33"/>
        <item x="26"/>
        <item x="12"/>
        <item x="22"/>
        <item x="18"/>
        <item x="11"/>
        <item x="28"/>
        <item x="16"/>
        <item x="8"/>
        <item x="17"/>
        <item x="13"/>
        <item x="24"/>
        <item x="23"/>
        <item x="29"/>
        <item x="19"/>
        <item x="56"/>
        <item x="31"/>
        <item x="60"/>
        <item x="21"/>
        <item x="37"/>
        <item x="137"/>
        <item x="6"/>
        <item x="51"/>
        <item x="34"/>
        <item x="86"/>
        <item x="87"/>
        <item x="101"/>
        <item x="117"/>
        <item x="93"/>
        <item x="83"/>
        <item x="40"/>
        <item x="36"/>
        <item x="102"/>
        <item x="85"/>
        <item x="50"/>
        <item x="46"/>
        <item x="35"/>
        <item x="99"/>
        <item x="75"/>
        <item x="38"/>
        <item x="112"/>
        <item x="106"/>
        <item x="81"/>
        <item x="1"/>
        <item x="25"/>
        <item x="15"/>
        <item x="5"/>
        <item x="30"/>
        <item x="42"/>
        <item x="79"/>
        <item x="53"/>
        <item x="43"/>
        <item x="122"/>
        <item x="96"/>
        <item x="92"/>
        <item x="94"/>
        <item x="95"/>
        <item x="64"/>
        <item x="63"/>
        <item x="59"/>
        <item x="104"/>
        <item x="113"/>
        <item x="120"/>
        <item x="136"/>
        <item x="118"/>
        <item x="135"/>
        <item x="105"/>
        <item x="61"/>
        <item x="55"/>
        <item x="82"/>
        <item x="27"/>
        <item x="0"/>
        <item x="97"/>
        <item x="130"/>
        <item x="131"/>
        <item x="111"/>
        <item x="128"/>
        <item x="119"/>
        <item x="9"/>
        <item x="32"/>
        <item x="71"/>
        <item x="73"/>
        <item x="70"/>
        <item x="72"/>
        <item x="67"/>
        <item x="66"/>
        <item x="68"/>
        <item x="69"/>
        <item x="77"/>
        <item x="62"/>
        <item x="65"/>
        <item x="39"/>
        <item x="44"/>
        <item x="74"/>
        <item x="57"/>
        <item x="91"/>
        <item x="108"/>
        <item x="54"/>
        <item x="109"/>
        <item x="107"/>
        <item x="114"/>
        <item x="133"/>
        <item x="123"/>
        <item x="4"/>
        <item x="116"/>
        <item x="134"/>
        <item x="127"/>
        <item x="7"/>
        <item x="76"/>
        <item x="52"/>
        <item x="47"/>
        <item x="90"/>
        <item x="138"/>
        <item x="98"/>
        <item x="100"/>
        <item x="48"/>
        <item x="115"/>
        <item x="10"/>
        <item x="78"/>
        <item x="80"/>
        <item x="58"/>
        <item x="84"/>
        <item x="103"/>
        <item x="110"/>
        <item x="88"/>
        <item x="45"/>
        <item x="49"/>
        <item x="132"/>
        <item x="125"/>
        <item x="14"/>
        <item x="20"/>
        <item x="129"/>
        <item x="41"/>
        <item x="124"/>
        <item x="126"/>
        <item x="121"/>
        <item t="default"/>
      </items>
    </pivotField>
    <pivotField dataField="1" showAll="0"/>
    <pivotField showAll="0"/>
  </pivotFields>
  <rowFields count="1">
    <field x="1"/>
  </rowFields>
  <rowItems count="1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t="grand">
      <x/>
    </i>
  </rowItems>
  <colItems count="1">
    <i/>
  </colItems>
  <dataFields count="1">
    <dataField name="Count of รุ่น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60AA7-199B-4F21-BBD3-DDA65EC381F3}" name="Table1" displayName="Table1" ref="B1:O89" totalsRowShown="0">
  <autoFilter ref="B1:O89" xr:uid="{0077A5E4-2B15-48C1-96B9-F092521DD6C2}"/>
  <tableColumns count="14">
    <tableColumn id="1" xr3:uid="{508B2553-8384-44C8-90B2-AACD6136EDAD}" name="STAFF"/>
    <tableColumn id="2" xr3:uid="{328F7CFB-0536-4DDF-9D90-96A523ACC585}" name="NAME"/>
    <tableColumn id="12" xr3:uid="{6B876453-CDAE-456B-BECB-BB244022AB59}" name="login"/>
    <tableColumn id="13" xr3:uid="{AEF8F693-CD07-4B8B-9292-AACAFAA0DEFC}" name="Pass"/>
    <tableColumn id="7" xr3:uid="{3DC824DF-7353-4179-8B37-A7B569A2B1AC}" name="BOSSID"/>
    <tableColumn id="8" xr3:uid="{39EF78CD-0E77-4D2D-B50E-2F43B1B14626}" name="BOSS NAME"/>
    <tableColumn id="6" xr3:uid="{BC0450F4-8310-4BE5-A0B5-47B8803889FE}" name="TYPES"/>
    <tableColumn id="14" xr3:uid="{2CDF64FD-D808-49B1-9E67-78EC9D2DC7B8}" name="Column1"/>
    <tableColumn id="11" xr3:uid="{446CBF83-AF9C-462B-8EAF-91071DCAEE69}" name="EMAIL"/>
    <tableColumn id="10" xr3:uid="{AE52F2A3-2C5A-4EA7-9802-0C6649A90DC2}" name="AREA"/>
    <tableColumn id="4" xr3:uid="{38B0E4F5-F110-49EB-BEE3-F4BC7794881F}" name="LEVEL"/>
    <tableColumn id="3" xr3:uid="{FB1D1191-7A87-4287-97A9-A141484F1D6C}" name="NICK_NAME"/>
    <tableColumn id="5" xr3:uid="{D96885C7-8BE4-4CAC-9C40-4E5CF568A836}" name="TYPE"/>
    <tableColumn id="9" xr3:uid="{312D0654-7109-4541-9976-7FFE641EB753}" name="GROUP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329952-0626-4EC2-B24E-8FB76F1E7227}" name="Table3" displayName="Table3" ref="A2:D722" totalsRowShown="0">
  <autoFilter ref="A2:D722" xr:uid="{86AA0A0B-F56D-4118-AFD3-43C93BABEA9D}"/>
  <sortState xmlns:xlrd2="http://schemas.microsoft.com/office/spreadsheetml/2017/richdata2" ref="A3:D722">
    <sortCondition ref="A2:A722"/>
  </sortState>
  <tableColumns count="4">
    <tableColumn id="1" xr3:uid="{5246F0AE-F7DF-478C-BC6B-196A72E7A6C9}" name="ยี่ห้อ"/>
    <tableColumn id="2" xr3:uid="{1483B3F6-3ED1-48C4-89B8-B4C77A668DB1}" name="สินค้า"/>
    <tableColumn id="3" xr3:uid="{9F0F550C-A3AE-48AC-90F6-230B788EE5A0}" name="รุ่น"/>
    <tableColumn id="4" xr3:uid="{216C2FA1-90BD-412D-936C-75E47849AC2C}" name="BM Name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11516-F84E-466E-A224-B7BB417FF4E1}" name="Table2" displayName="Table2" ref="A2:C47" totalsRowShown="0">
  <autoFilter ref="A2:C47" xr:uid="{DCB18474-0660-4495-A3A5-E5958416D257}"/>
  <sortState xmlns:xlrd2="http://schemas.microsoft.com/office/spreadsheetml/2017/richdata2" ref="A3:B47">
    <sortCondition ref="B2:B47"/>
  </sortState>
  <tableColumns count="3">
    <tableColumn id="1" xr3:uid="{BBFF57B0-2AEB-46BE-8D94-40915A2F9244}" name="SID" dataDxfId="0"/>
    <tableColumn id="2" xr3:uid="{4B7E058C-C3BD-4ACF-B985-35166FE61343}" name="D">
      <calculatedColumnFormula>"(SALE_STAFF_ID = '" &amp; Table2[[#This Row],[SID]] &amp; "')"</calculatedColumnFormula>
    </tableColumn>
    <tableColumn id="3" xr3:uid="{9D75FB34-8004-4D5A-BAE6-128F0BFB3004}" name="Column1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por6655@gmail.com" TargetMode="External"/><Relationship Id="rId1" Type="http://schemas.openxmlformats.org/officeDocument/2006/relationships/hyperlink" Target="mailto:opor6655@gmail.com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0769-234D-42F1-9E3A-FC8F22C39E4D}">
  <dimension ref="B3:G41"/>
  <sheetViews>
    <sheetView workbookViewId="0">
      <selection activeCell="B30" sqref="B30"/>
    </sheetView>
  </sheetViews>
  <sheetFormatPr defaultRowHeight="15" x14ac:dyDescent="0.25"/>
  <cols>
    <col min="2" max="2" width="28.85546875" bestFit="1" customWidth="1"/>
    <col min="3" max="3" width="20" customWidth="1"/>
  </cols>
  <sheetData>
    <row r="3" spans="2:7" x14ac:dyDescent="0.25">
      <c r="B3">
        <v>0</v>
      </c>
      <c r="C3" t="s">
        <v>0</v>
      </c>
      <c r="G3" t="s">
        <v>60</v>
      </c>
    </row>
    <row r="4" spans="2:7" x14ac:dyDescent="0.25">
      <c r="B4">
        <v>1</v>
      </c>
      <c r="C4" t="s">
        <v>1</v>
      </c>
      <c r="D4" t="s">
        <v>2</v>
      </c>
      <c r="G4" t="s">
        <v>60</v>
      </c>
    </row>
    <row r="5" spans="2:7" x14ac:dyDescent="0.25">
      <c r="B5">
        <v>2</v>
      </c>
      <c r="C5" t="s">
        <v>3</v>
      </c>
      <c r="D5" t="s">
        <v>4</v>
      </c>
      <c r="G5" t="s">
        <v>60</v>
      </c>
    </row>
    <row r="6" spans="2:7" x14ac:dyDescent="0.25">
      <c r="B6">
        <v>3</v>
      </c>
      <c r="C6" t="s">
        <v>5</v>
      </c>
      <c r="D6" t="s">
        <v>6</v>
      </c>
      <c r="G6" t="s">
        <v>60</v>
      </c>
    </row>
    <row r="7" spans="2:7" x14ac:dyDescent="0.25">
      <c r="B7">
        <v>4</v>
      </c>
      <c r="C7" t="s">
        <v>7</v>
      </c>
      <c r="G7" t="s">
        <v>61</v>
      </c>
    </row>
    <row r="8" spans="2:7" x14ac:dyDescent="0.25">
      <c r="B8">
        <v>5</v>
      </c>
      <c r="C8" t="s">
        <v>8</v>
      </c>
      <c r="D8" t="s">
        <v>9</v>
      </c>
      <c r="G8" t="s">
        <v>61</v>
      </c>
    </row>
    <row r="9" spans="2:7" x14ac:dyDescent="0.25">
      <c r="B9">
        <v>6</v>
      </c>
      <c r="C9" t="s">
        <v>10</v>
      </c>
      <c r="D9" t="s">
        <v>11</v>
      </c>
      <c r="G9" t="s">
        <v>61</v>
      </c>
    </row>
    <row r="10" spans="2:7" x14ac:dyDescent="0.25">
      <c r="B10">
        <v>7</v>
      </c>
      <c r="C10" t="s">
        <v>12</v>
      </c>
      <c r="D10" t="s">
        <v>13</v>
      </c>
    </row>
    <row r="11" spans="2:7" x14ac:dyDescent="0.25">
      <c r="B11">
        <v>8</v>
      </c>
      <c r="C11" t="s">
        <v>14</v>
      </c>
      <c r="D11" t="s">
        <v>15</v>
      </c>
    </row>
    <row r="12" spans="2:7" x14ac:dyDescent="0.25">
      <c r="B12">
        <v>9</v>
      </c>
      <c r="C12" t="s">
        <v>16</v>
      </c>
      <c r="D12" t="s">
        <v>17</v>
      </c>
    </row>
    <row r="13" spans="2:7" x14ac:dyDescent="0.25">
      <c r="B13">
        <v>10</v>
      </c>
      <c r="C13" t="s">
        <v>18</v>
      </c>
      <c r="D13" t="s">
        <v>19</v>
      </c>
    </row>
    <row r="14" spans="2:7" x14ac:dyDescent="0.25">
      <c r="B14">
        <v>11</v>
      </c>
      <c r="C14" t="s">
        <v>20</v>
      </c>
    </row>
    <row r="15" spans="2:7" x14ac:dyDescent="0.25">
      <c r="B15">
        <v>12</v>
      </c>
      <c r="C15" t="s">
        <v>21</v>
      </c>
      <c r="D15" t="s">
        <v>22</v>
      </c>
    </row>
    <row r="16" spans="2:7" x14ac:dyDescent="0.25">
      <c r="B16">
        <v>13</v>
      </c>
      <c r="C16" t="s">
        <v>23</v>
      </c>
    </row>
    <row r="17" spans="2:4" x14ac:dyDescent="0.25">
      <c r="B17">
        <v>14</v>
      </c>
      <c r="C17" t="s">
        <v>24</v>
      </c>
      <c r="D17" t="s">
        <v>25</v>
      </c>
    </row>
    <row r="18" spans="2:4" x14ac:dyDescent="0.25">
      <c r="B18">
        <v>15</v>
      </c>
      <c r="C18" t="s">
        <v>26</v>
      </c>
      <c r="D18" t="s">
        <v>27</v>
      </c>
    </row>
    <row r="19" spans="2:4" x14ac:dyDescent="0.25">
      <c r="B19">
        <v>16</v>
      </c>
      <c r="C19" t="s">
        <v>28</v>
      </c>
    </row>
    <row r="20" spans="2:4" x14ac:dyDescent="0.25">
      <c r="B20">
        <v>17</v>
      </c>
      <c r="C20" t="s">
        <v>29</v>
      </c>
    </row>
    <row r="21" spans="2:4" x14ac:dyDescent="0.25">
      <c r="B21">
        <v>18</v>
      </c>
      <c r="C21" t="s">
        <v>30</v>
      </c>
    </row>
    <row r="22" spans="2:4" x14ac:dyDescent="0.25">
      <c r="B22">
        <v>19</v>
      </c>
      <c r="C22" t="s">
        <v>31</v>
      </c>
    </row>
    <row r="23" spans="2:4" x14ac:dyDescent="0.25">
      <c r="B23">
        <v>20</v>
      </c>
      <c r="C23" t="s">
        <v>32</v>
      </c>
    </row>
    <row r="24" spans="2:4" x14ac:dyDescent="0.25">
      <c r="B24">
        <v>21</v>
      </c>
      <c r="C24" t="s">
        <v>33</v>
      </c>
      <c r="D24" t="s">
        <v>34</v>
      </c>
    </row>
    <row r="25" spans="2:4" x14ac:dyDescent="0.25">
      <c r="B25">
        <v>22</v>
      </c>
      <c r="C25" t="s">
        <v>35</v>
      </c>
      <c r="D25" t="s">
        <v>36</v>
      </c>
    </row>
    <row r="26" spans="2:4" x14ac:dyDescent="0.25">
      <c r="B26">
        <v>23</v>
      </c>
      <c r="C26" t="s">
        <v>37</v>
      </c>
      <c r="D26" t="s">
        <v>38</v>
      </c>
    </row>
    <row r="27" spans="2:4" x14ac:dyDescent="0.25">
      <c r="B27">
        <v>24</v>
      </c>
      <c r="C27" t="s">
        <v>39</v>
      </c>
    </row>
    <row r="28" spans="2:4" x14ac:dyDescent="0.25">
      <c r="B28">
        <v>25</v>
      </c>
      <c r="C28" t="s">
        <v>40</v>
      </c>
      <c r="D28" t="s">
        <v>41</v>
      </c>
    </row>
    <row r="29" spans="2:4" x14ac:dyDescent="0.25">
      <c r="B29">
        <v>26</v>
      </c>
      <c r="C29" t="s">
        <v>42</v>
      </c>
    </row>
    <row r="30" spans="2:4" x14ac:dyDescent="0.25">
      <c r="B30">
        <v>27</v>
      </c>
      <c r="C30" t="s">
        <v>43</v>
      </c>
      <c r="D30" t="s">
        <v>44</v>
      </c>
    </row>
    <row r="31" spans="2:4" x14ac:dyDescent="0.25">
      <c r="B31">
        <v>28</v>
      </c>
      <c r="C31" t="s">
        <v>45</v>
      </c>
    </row>
    <row r="32" spans="2:4" x14ac:dyDescent="0.25">
      <c r="B32">
        <v>29</v>
      </c>
      <c r="C32" t="s">
        <v>46</v>
      </c>
      <c r="D32" t="s">
        <v>47</v>
      </c>
    </row>
    <row r="33" spans="2:4" x14ac:dyDescent="0.25">
      <c r="B33">
        <v>30</v>
      </c>
      <c r="C33" t="s">
        <v>48</v>
      </c>
    </row>
    <row r="34" spans="2:4" x14ac:dyDescent="0.25">
      <c r="B34">
        <v>31</v>
      </c>
      <c r="C34" t="s">
        <v>49</v>
      </c>
      <c r="D34" t="s">
        <v>50</v>
      </c>
    </row>
    <row r="35" spans="2:4" x14ac:dyDescent="0.25">
      <c r="B35">
        <v>32</v>
      </c>
      <c r="C35" t="s">
        <v>51</v>
      </c>
    </row>
    <row r="36" spans="2:4" x14ac:dyDescent="0.25">
      <c r="B36">
        <v>33</v>
      </c>
      <c r="C36" t="s">
        <v>52</v>
      </c>
      <c r="D36" t="s">
        <v>53</v>
      </c>
    </row>
    <row r="37" spans="2:4" x14ac:dyDescent="0.25">
      <c r="B37">
        <v>34</v>
      </c>
      <c r="C37" t="s">
        <v>54</v>
      </c>
      <c r="D37" t="s">
        <v>55</v>
      </c>
    </row>
    <row r="38" spans="2:4" x14ac:dyDescent="0.25">
      <c r="B38">
        <v>35</v>
      </c>
      <c r="C38" t="s">
        <v>56</v>
      </c>
    </row>
    <row r="39" spans="2:4" x14ac:dyDescent="0.25">
      <c r="B39">
        <v>36</v>
      </c>
      <c r="C39" t="s">
        <v>57</v>
      </c>
    </row>
    <row r="40" spans="2:4" x14ac:dyDescent="0.25">
      <c r="B40">
        <v>37</v>
      </c>
      <c r="C40" t="s">
        <v>58</v>
      </c>
    </row>
    <row r="41" spans="2:4" x14ac:dyDescent="0.25">
      <c r="B41">
        <v>38</v>
      </c>
      <c r="C4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4D47-516C-4B6D-84B0-22E0ECD5407A}">
  <dimension ref="A1:I24"/>
  <sheetViews>
    <sheetView workbookViewId="0">
      <selection activeCell="E2" sqref="E2:I24"/>
    </sheetView>
  </sheetViews>
  <sheetFormatPr defaultRowHeight="15" x14ac:dyDescent="0.25"/>
  <cols>
    <col min="1" max="1" width="34.28515625" bestFit="1" customWidth="1"/>
    <col min="6" max="6" width="34.28515625" bestFit="1" customWidth="1"/>
  </cols>
  <sheetData>
    <row r="1" spans="1:9" x14ac:dyDescent="0.25">
      <c r="A1" t="s">
        <v>108</v>
      </c>
      <c r="B1" t="s">
        <v>109</v>
      </c>
    </row>
    <row r="2" spans="1:9" x14ac:dyDescent="0.25">
      <c r="A2" t="s">
        <v>107</v>
      </c>
      <c r="B2" t="s">
        <v>106</v>
      </c>
      <c r="E2" t="s">
        <v>110</v>
      </c>
      <c r="F2" t="s">
        <v>107</v>
      </c>
      <c r="G2" t="s">
        <v>111</v>
      </c>
      <c r="H2" t="s">
        <v>112</v>
      </c>
      <c r="I2" t="str">
        <f t="shared" ref="I2:I9" si="0">"Request.Form("""&amp;F2 &amp;""")"</f>
        <v>Request.Form(" ctrl_txt_sale_date ")</v>
      </c>
    </row>
    <row r="3" spans="1:9" x14ac:dyDescent="0.25">
      <c r="A3" t="s">
        <v>105</v>
      </c>
      <c r="B3" t="s">
        <v>104</v>
      </c>
      <c r="E3" t="s">
        <v>110</v>
      </c>
      <c r="F3" t="s">
        <v>105</v>
      </c>
      <c r="G3" t="s">
        <v>111</v>
      </c>
      <c r="H3" t="s">
        <v>112</v>
      </c>
      <c r="I3" t="str">
        <f t="shared" si="0"/>
        <v>Request.Form(" ctrl_txt_sale_hospital ")</v>
      </c>
    </row>
    <row r="4" spans="1:9" x14ac:dyDescent="0.25">
      <c r="A4" t="s">
        <v>103</v>
      </c>
      <c r="B4" t="s">
        <v>102</v>
      </c>
      <c r="E4" t="s">
        <v>110</v>
      </c>
      <c r="F4" t="s">
        <v>103</v>
      </c>
      <c r="G4" t="s">
        <v>111</v>
      </c>
      <c r="H4" t="s">
        <v>112</v>
      </c>
      <c r="I4" t="str">
        <f t="shared" si="0"/>
        <v>Request.Form(" ctrl_txt_txt_sale_department ")</v>
      </c>
    </row>
    <row r="5" spans="1:9" x14ac:dyDescent="0.25">
      <c r="A5" t="s">
        <v>101</v>
      </c>
      <c r="B5" t="s">
        <v>100</v>
      </c>
      <c r="E5" t="s">
        <v>110</v>
      </c>
      <c r="F5" t="s">
        <v>101</v>
      </c>
      <c r="G5" t="s">
        <v>111</v>
      </c>
      <c r="H5" t="s">
        <v>112</v>
      </c>
      <c r="I5" t="str">
        <f t="shared" si="0"/>
        <v>Request.Form(" ctrl_sel_brand_name ")</v>
      </c>
    </row>
    <row r="6" spans="1:9" x14ac:dyDescent="0.25">
      <c r="A6" t="s">
        <v>99</v>
      </c>
      <c r="B6" t="s">
        <v>98</v>
      </c>
      <c r="E6" t="s">
        <v>110</v>
      </c>
      <c r="F6" t="s">
        <v>99</v>
      </c>
      <c r="G6" t="s">
        <v>111</v>
      </c>
      <c r="H6" t="s">
        <v>112</v>
      </c>
      <c r="I6" t="str">
        <f t="shared" si="0"/>
        <v>Request.Form(" ctrl_sel_product_name ")</v>
      </c>
    </row>
    <row r="7" spans="1:9" x14ac:dyDescent="0.25">
      <c r="A7" t="s">
        <v>97</v>
      </c>
      <c r="B7" t="s">
        <v>96</v>
      </c>
      <c r="E7" t="s">
        <v>110</v>
      </c>
      <c r="F7" t="s">
        <v>97</v>
      </c>
      <c r="G7" t="s">
        <v>111</v>
      </c>
      <c r="H7" t="s">
        <v>112</v>
      </c>
      <c r="I7" t="str">
        <f t="shared" si="0"/>
        <v>Request.Form(" ctrl_txt_sale_id")</v>
      </c>
    </row>
    <row r="8" spans="1:9" x14ac:dyDescent="0.25">
      <c r="A8" t="s">
        <v>95</v>
      </c>
      <c r="B8" t="s">
        <v>94</v>
      </c>
      <c r="E8" t="s">
        <v>110</v>
      </c>
      <c r="F8" t="s">
        <v>95</v>
      </c>
      <c r="G8" t="s">
        <v>111</v>
      </c>
      <c r="H8" t="s">
        <v>112</v>
      </c>
      <c r="I8" t="str">
        <f t="shared" si="0"/>
        <v>Request.Form(" ctrl_sel_sale_product_model_name ")</v>
      </c>
    </row>
    <row r="9" spans="1:9" x14ac:dyDescent="0.25">
      <c r="A9" t="s">
        <v>93</v>
      </c>
      <c r="B9" t="s">
        <v>92</v>
      </c>
      <c r="E9" t="s">
        <v>110</v>
      </c>
      <c r="F9" t="s">
        <v>93</v>
      </c>
      <c r="G9" t="s">
        <v>111</v>
      </c>
      <c r="H9" t="s">
        <v>112</v>
      </c>
      <c r="I9" t="str">
        <f t="shared" si="0"/>
        <v>Request.Form(" ctrl_txt_sale_unit_price ")</v>
      </c>
    </row>
    <row r="10" spans="1:9" x14ac:dyDescent="0.25">
      <c r="A10" t="s">
        <v>91</v>
      </c>
      <c r="B10" t="s">
        <v>90</v>
      </c>
      <c r="E10" t="s">
        <v>110</v>
      </c>
      <c r="F10" t="s">
        <v>91</v>
      </c>
      <c r="G10" t="s">
        <v>111</v>
      </c>
      <c r="H10" t="s">
        <v>112</v>
      </c>
      <c r="I10" t="str">
        <f>"Request.Form("""&amp;F10 &amp;""")"</f>
        <v>Request.Form(" ctrl_txt_sale_qty ")</v>
      </c>
    </row>
    <row r="11" spans="1:9" x14ac:dyDescent="0.25">
      <c r="A11" t="s">
        <v>89</v>
      </c>
      <c r="B11" t="s">
        <v>88</v>
      </c>
      <c r="E11" t="s">
        <v>110</v>
      </c>
      <c r="F11" t="s">
        <v>89</v>
      </c>
      <c r="G11" t="s">
        <v>111</v>
      </c>
      <c r="H11" t="s">
        <v>112</v>
      </c>
      <c r="I11" t="str">
        <f t="shared" ref="I11:I24" si="1">"Request.Form("""&amp;F11 &amp;""")"</f>
        <v>Request.Form(" ctrl_txt_sale_total_price ")</v>
      </c>
    </row>
    <row r="12" spans="1:9" x14ac:dyDescent="0.25">
      <c r="A12" t="s">
        <v>87</v>
      </c>
      <c r="B12" t="s">
        <v>86</v>
      </c>
      <c r="E12" t="s">
        <v>110</v>
      </c>
      <c r="F12" t="s">
        <v>87</v>
      </c>
      <c r="G12" t="s">
        <v>111</v>
      </c>
      <c r="H12" t="s">
        <v>112</v>
      </c>
      <c r="I12" t="str">
        <f t="shared" si="1"/>
        <v>Request.Form(" ctrl_sel_custstate_name ")</v>
      </c>
    </row>
    <row r="13" spans="1:9" x14ac:dyDescent="0.25">
      <c r="A13" t="s">
        <v>85</v>
      </c>
      <c r="B13" t="s">
        <v>84</v>
      </c>
      <c r="E13" t="s">
        <v>110</v>
      </c>
      <c r="F13" t="s">
        <v>85</v>
      </c>
      <c r="G13" t="s">
        <v>111</v>
      </c>
      <c r="H13" t="s">
        <v>112</v>
      </c>
      <c r="I13" t="str">
        <f t="shared" si="1"/>
        <v>Request.Form(" ctrl_sel_orderstate_name ")</v>
      </c>
    </row>
    <row r="14" spans="1:9" x14ac:dyDescent="0.25">
      <c r="A14" t="s">
        <v>83</v>
      </c>
      <c r="B14" t="s">
        <v>82</v>
      </c>
      <c r="E14" t="s">
        <v>110</v>
      </c>
      <c r="F14" t="s">
        <v>83</v>
      </c>
      <c r="G14" t="s">
        <v>111</v>
      </c>
      <c r="H14" t="s">
        <v>112</v>
      </c>
      <c r="I14" t="str">
        <f t="shared" si="1"/>
        <v>Request.Form(" ctrl_txt_sale_estimate_in ")</v>
      </c>
    </row>
    <row r="15" spans="1:9" x14ac:dyDescent="0.25">
      <c r="A15" t="s">
        <v>81</v>
      </c>
      <c r="B15" t="s">
        <v>80</v>
      </c>
      <c r="E15" t="s">
        <v>110</v>
      </c>
      <c r="F15" t="s">
        <v>81</v>
      </c>
      <c r="G15" t="s">
        <v>111</v>
      </c>
      <c r="H15" t="s">
        <v>112</v>
      </c>
      <c r="I15" t="str">
        <f t="shared" si="1"/>
        <v>Request.Form(" ctrl_sel_ordertype_name ")</v>
      </c>
    </row>
    <row r="16" spans="1:9" x14ac:dyDescent="0.25">
      <c r="A16" t="s">
        <v>79</v>
      </c>
      <c r="B16" t="s">
        <v>78</v>
      </c>
      <c r="E16" t="s">
        <v>110</v>
      </c>
      <c r="F16" t="s">
        <v>79</v>
      </c>
      <c r="G16" t="s">
        <v>111</v>
      </c>
      <c r="H16" t="s">
        <v>112</v>
      </c>
      <c r="I16" t="str">
        <f t="shared" si="1"/>
        <v>Request.Form(" ctrl_sel_sale_order_year ")</v>
      </c>
    </row>
    <row r="17" spans="1:9" x14ac:dyDescent="0.25">
      <c r="A17" t="s">
        <v>77</v>
      </c>
      <c r="B17" t="s">
        <v>76</v>
      </c>
      <c r="E17" t="s">
        <v>110</v>
      </c>
      <c r="F17" t="s">
        <v>77</v>
      </c>
      <c r="G17" t="s">
        <v>111</v>
      </c>
      <c r="H17" t="s">
        <v>112</v>
      </c>
      <c r="I17" t="str">
        <f t="shared" si="1"/>
        <v>Request.Form(" ctrl_sel_sale_order_month ")</v>
      </c>
    </row>
    <row r="18" spans="1:9" x14ac:dyDescent="0.25">
      <c r="A18" t="s">
        <v>75</v>
      </c>
      <c r="B18" t="s">
        <v>74</v>
      </c>
      <c r="E18" t="s">
        <v>110</v>
      </c>
      <c r="F18" t="s">
        <v>75</v>
      </c>
      <c r="G18" t="s">
        <v>111</v>
      </c>
      <c r="H18" t="s">
        <v>112</v>
      </c>
      <c r="I18" t="str">
        <f t="shared" si="1"/>
        <v>Request.Form(" ctrl_sel_orderprob_name ")</v>
      </c>
    </row>
    <row r="19" spans="1:9" x14ac:dyDescent="0.25">
      <c r="A19" t="s">
        <v>73</v>
      </c>
      <c r="B19" t="s">
        <v>72</v>
      </c>
      <c r="E19" t="s">
        <v>110</v>
      </c>
      <c r="F19" t="s">
        <v>73</v>
      </c>
      <c r="G19" t="s">
        <v>111</v>
      </c>
      <c r="H19" t="s">
        <v>112</v>
      </c>
      <c r="I19" t="str">
        <f t="shared" si="1"/>
        <v>Request.Form(" ctrl_sel_budgettype_name ")</v>
      </c>
    </row>
    <row r="20" spans="1:9" x14ac:dyDescent="0.25">
      <c r="A20" t="s">
        <v>71</v>
      </c>
      <c r="B20" t="s">
        <v>70</v>
      </c>
      <c r="E20" t="s">
        <v>110</v>
      </c>
      <c r="F20" t="s">
        <v>71</v>
      </c>
      <c r="G20" t="s">
        <v>111</v>
      </c>
      <c r="H20" t="s">
        <v>112</v>
      </c>
      <c r="I20" t="str">
        <f t="shared" si="1"/>
        <v>Request.Form(" ctrl_txt_staff_id ")</v>
      </c>
    </row>
    <row r="21" spans="1:9" x14ac:dyDescent="0.25">
      <c r="A21" t="s">
        <v>69</v>
      </c>
      <c r="B21" t="s">
        <v>68</v>
      </c>
      <c r="E21" t="s">
        <v>110</v>
      </c>
      <c r="F21" t="s">
        <v>69</v>
      </c>
      <c r="G21" t="s">
        <v>111</v>
      </c>
      <c r="H21" t="s">
        <v>112</v>
      </c>
      <c r="I21" t="str">
        <f t="shared" si="1"/>
        <v>Request.Form(" ctrl_txt_staff_name ")</v>
      </c>
    </row>
    <row r="22" spans="1:9" x14ac:dyDescent="0.25">
      <c r="A22" t="s">
        <v>67</v>
      </c>
      <c r="B22" t="s">
        <v>66</v>
      </c>
      <c r="E22" t="s">
        <v>110</v>
      </c>
      <c r="F22" t="s">
        <v>67</v>
      </c>
      <c r="G22" t="s">
        <v>111</v>
      </c>
      <c r="H22" t="s">
        <v>112</v>
      </c>
      <c r="I22" t="str">
        <f t="shared" si="1"/>
        <v>Request.Form(" ctrl_txt_bm_name ")</v>
      </c>
    </row>
    <row r="23" spans="1:9" x14ac:dyDescent="0.25">
      <c r="A23" t="s">
        <v>65</v>
      </c>
      <c r="B23" t="s">
        <v>64</v>
      </c>
      <c r="E23" t="s">
        <v>110</v>
      </c>
      <c r="F23" t="s">
        <v>65</v>
      </c>
      <c r="G23" t="s">
        <v>111</v>
      </c>
      <c r="H23" t="s">
        <v>112</v>
      </c>
      <c r="I23" t="str">
        <f t="shared" si="1"/>
        <v>Request.Form(" ctrl_sel_am_name ")</v>
      </c>
    </row>
    <row r="24" spans="1:9" x14ac:dyDescent="0.25">
      <c r="A24" t="s">
        <v>63</v>
      </c>
      <c r="B24" t="s">
        <v>62</v>
      </c>
      <c r="E24" t="s">
        <v>110</v>
      </c>
      <c r="F24" t="s">
        <v>63</v>
      </c>
      <c r="G24" t="s">
        <v>111</v>
      </c>
      <c r="H24" t="s">
        <v>112</v>
      </c>
      <c r="I24" t="str">
        <f t="shared" si="1"/>
        <v>Request.Form(" ctrl_txt_sale_remark ")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D843-D00E-4DDD-BAC5-134DC3FBDD8A}">
  <dimension ref="B1:Q89"/>
  <sheetViews>
    <sheetView workbookViewId="0">
      <selection activeCell="B1" sqref="B1:C1048576"/>
    </sheetView>
  </sheetViews>
  <sheetFormatPr defaultRowHeight="15" x14ac:dyDescent="0.25"/>
  <cols>
    <col min="3" max="3" width="23.7109375" bestFit="1" customWidth="1"/>
    <col min="4" max="5" width="23.7109375" customWidth="1"/>
    <col min="6" max="6" width="9.5703125" customWidth="1"/>
    <col min="8" max="9" width="13" customWidth="1"/>
    <col min="10" max="10" width="13.5703125" customWidth="1"/>
    <col min="12" max="12" width="8.5703125" customWidth="1"/>
    <col min="13" max="13" width="13.85546875" customWidth="1"/>
    <col min="15" max="15" width="14" customWidth="1"/>
  </cols>
  <sheetData>
    <row r="1" spans="2:17" x14ac:dyDescent="0.25">
      <c r="B1" t="s">
        <v>310</v>
      </c>
      <c r="C1" t="s">
        <v>311</v>
      </c>
      <c r="D1" t="s">
        <v>424</v>
      </c>
      <c r="E1" t="s">
        <v>425</v>
      </c>
      <c r="F1" t="s">
        <v>316</v>
      </c>
      <c r="G1" t="s">
        <v>317</v>
      </c>
      <c r="H1" t="s">
        <v>315</v>
      </c>
      <c r="I1" t="s">
        <v>419</v>
      </c>
      <c r="J1" t="s">
        <v>422</v>
      </c>
      <c r="K1" t="s">
        <v>421</v>
      </c>
      <c r="L1" t="s">
        <v>313</v>
      </c>
      <c r="M1" t="s">
        <v>312</v>
      </c>
      <c r="N1" t="s">
        <v>314</v>
      </c>
      <c r="O1" t="s">
        <v>420</v>
      </c>
    </row>
    <row r="2" spans="2:17" x14ac:dyDescent="0.25">
      <c r="B2">
        <v>300001</v>
      </c>
      <c r="C2" t="s">
        <v>113</v>
      </c>
      <c r="D2">
        <v>300001</v>
      </c>
      <c r="E2">
        <v>300001</v>
      </c>
      <c r="H2" t="s">
        <v>117</v>
      </c>
      <c r="J2" t="s">
        <v>320</v>
      </c>
      <c r="K2" t="s">
        <v>319</v>
      </c>
      <c r="L2" t="s">
        <v>115</v>
      </c>
      <c r="M2" t="s">
        <v>114</v>
      </c>
      <c r="N2" t="s">
        <v>116</v>
      </c>
      <c r="O2" t="s">
        <v>318</v>
      </c>
    </row>
    <row r="3" spans="2:17" x14ac:dyDescent="0.25">
      <c r="B3">
        <v>313001</v>
      </c>
      <c r="C3" t="s">
        <v>118</v>
      </c>
      <c r="D3">
        <v>313001</v>
      </c>
      <c r="E3">
        <v>313001</v>
      </c>
      <c r="F3">
        <v>300001</v>
      </c>
      <c r="G3" t="s">
        <v>113</v>
      </c>
      <c r="H3" t="s">
        <v>50</v>
      </c>
      <c r="J3" t="s">
        <v>321</v>
      </c>
      <c r="K3" t="s">
        <v>319</v>
      </c>
      <c r="L3" t="s">
        <v>120</v>
      </c>
      <c r="M3" t="s">
        <v>119</v>
      </c>
      <c r="N3" t="s">
        <v>50</v>
      </c>
      <c r="O3" t="s">
        <v>318</v>
      </c>
    </row>
    <row r="4" spans="2:17" x14ac:dyDescent="0.25">
      <c r="B4">
        <v>314001</v>
      </c>
      <c r="C4" t="s">
        <v>121</v>
      </c>
      <c r="D4">
        <v>314001</v>
      </c>
      <c r="E4">
        <v>314001</v>
      </c>
      <c r="F4">
        <v>300001</v>
      </c>
      <c r="G4" t="s">
        <v>113</v>
      </c>
      <c r="H4" t="s">
        <v>53</v>
      </c>
      <c r="J4" t="s">
        <v>322</v>
      </c>
      <c r="K4" t="s">
        <v>319</v>
      </c>
      <c r="L4" t="s">
        <v>120</v>
      </c>
      <c r="M4" t="s">
        <v>122</v>
      </c>
      <c r="N4" t="s">
        <v>53</v>
      </c>
      <c r="O4" t="s">
        <v>318</v>
      </c>
    </row>
    <row r="5" spans="2:17" x14ac:dyDescent="0.25">
      <c r="B5">
        <v>314002</v>
      </c>
      <c r="C5" t="s">
        <v>123</v>
      </c>
      <c r="D5">
        <v>314002</v>
      </c>
      <c r="E5">
        <v>314002</v>
      </c>
      <c r="F5">
        <v>313001</v>
      </c>
      <c r="G5" t="s">
        <v>118</v>
      </c>
      <c r="H5" t="s">
        <v>50</v>
      </c>
      <c r="J5" t="s">
        <v>325</v>
      </c>
      <c r="K5" t="s">
        <v>324</v>
      </c>
      <c r="L5" t="s">
        <v>125</v>
      </c>
      <c r="M5" t="s">
        <v>124</v>
      </c>
      <c r="N5" t="s">
        <v>126</v>
      </c>
      <c r="O5" t="s">
        <v>323</v>
      </c>
    </row>
    <row r="6" spans="2:17" x14ac:dyDescent="0.25">
      <c r="B6">
        <v>314003</v>
      </c>
      <c r="C6" t="s">
        <v>127</v>
      </c>
      <c r="D6">
        <v>314003</v>
      </c>
      <c r="E6">
        <v>314003</v>
      </c>
      <c r="F6">
        <v>314001</v>
      </c>
      <c r="G6" t="s">
        <v>121</v>
      </c>
      <c r="H6" t="s">
        <v>53</v>
      </c>
      <c r="J6" t="s">
        <v>328</v>
      </c>
      <c r="K6" t="s">
        <v>327</v>
      </c>
      <c r="L6" t="s">
        <v>125</v>
      </c>
      <c r="M6" t="s">
        <v>128</v>
      </c>
      <c r="N6" t="s">
        <v>129</v>
      </c>
      <c r="O6" t="s">
        <v>326</v>
      </c>
    </row>
    <row r="7" spans="2:17" x14ac:dyDescent="0.25">
      <c r="B7">
        <v>314004</v>
      </c>
      <c r="C7" t="s">
        <v>130</v>
      </c>
      <c r="D7">
        <v>314004</v>
      </c>
      <c r="E7">
        <v>314004</v>
      </c>
      <c r="F7">
        <v>314001</v>
      </c>
      <c r="G7" t="s">
        <v>121</v>
      </c>
      <c r="H7" t="s">
        <v>53</v>
      </c>
      <c r="J7" t="s">
        <v>330</v>
      </c>
      <c r="K7" t="s">
        <v>329</v>
      </c>
      <c r="L7" t="s">
        <v>125</v>
      </c>
      <c r="M7" t="s">
        <v>131</v>
      </c>
      <c r="N7" t="s">
        <v>132</v>
      </c>
      <c r="O7" t="s">
        <v>326</v>
      </c>
    </row>
    <row r="8" spans="2:17" x14ac:dyDescent="0.25">
      <c r="B8">
        <v>314006</v>
      </c>
      <c r="C8" t="s">
        <v>133</v>
      </c>
      <c r="D8">
        <v>314006</v>
      </c>
      <c r="E8">
        <v>314006</v>
      </c>
      <c r="F8">
        <v>314001</v>
      </c>
      <c r="G8" t="s">
        <v>121</v>
      </c>
      <c r="H8" t="s">
        <v>53</v>
      </c>
      <c r="J8" t="s">
        <v>332</v>
      </c>
      <c r="K8" t="s">
        <v>331</v>
      </c>
      <c r="L8" t="s">
        <v>125</v>
      </c>
      <c r="M8" t="s">
        <v>134</v>
      </c>
      <c r="N8" t="s">
        <v>135</v>
      </c>
      <c r="O8" t="s">
        <v>326</v>
      </c>
    </row>
    <row r="9" spans="2:17" x14ac:dyDescent="0.25">
      <c r="B9">
        <v>314007</v>
      </c>
      <c r="C9" t="s">
        <v>136</v>
      </c>
      <c r="D9">
        <v>314007</v>
      </c>
      <c r="E9">
        <v>314007</v>
      </c>
      <c r="F9">
        <v>314001</v>
      </c>
      <c r="G9" t="s">
        <v>121</v>
      </c>
      <c r="H9" t="s">
        <v>53</v>
      </c>
      <c r="J9" t="s">
        <v>334</v>
      </c>
      <c r="K9" t="s">
        <v>333</v>
      </c>
      <c r="L9" t="s">
        <v>125</v>
      </c>
      <c r="M9" t="s">
        <v>137</v>
      </c>
      <c r="N9" t="s">
        <v>138</v>
      </c>
      <c r="O9" t="s">
        <v>326</v>
      </c>
    </row>
    <row r="10" spans="2:17" x14ac:dyDescent="0.25">
      <c r="B10">
        <v>314008</v>
      </c>
      <c r="C10" t="s">
        <v>139</v>
      </c>
      <c r="D10">
        <v>314008</v>
      </c>
      <c r="E10">
        <v>314008</v>
      </c>
      <c r="F10">
        <v>314001</v>
      </c>
      <c r="G10" t="s">
        <v>121</v>
      </c>
      <c r="H10" t="s">
        <v>53</v>
      </c>
      <c r="J10" t="s">
        <v>336</v>
      </c>
      <c r="K10" t="s">
        <v>335</v>
      </c>
      <c r="L10" t="s">
        <v>125</v>
      </c>
      <c r="M10" t="s">
        <v>140</v>
      </c>
      <c r="N10" t="s">
        <v>141</v>
      </c>
      <c r="O10" t="s">
        <v>326</v>
      </c>
    </row>
    <row r="11" spans="2:17" x14ac:dyDescent="0.25">
      <c r="B11">
        <v>314009</v>
      </c>
      <c r="C11" t="s">
        <v>142</v>
      </c>
      <c r="D11">
        <v>314009</v>
      </c>
      <c r="E11">
        <v>314009</v>
      </c>
      <c r="F11">
        <v>313001</v>
      </c>
      <c r="G11" t="s">
        <v>118</v>
      </c>
      <c r="H11" t="s">
        <v>50</v>
      </c>
      <c r="J11" t="s">
        <v>337</v>
      </c>
      <c r="K11" t="s">
        <v>324</v>
      </c>
      <c r="L11" t="s">
        <v>125</v>
      </c>
      <c r="M11" t="s">
        <v>143</v>
      </c>
      <c r="N11" t="s">
        <v>144</v>
      </c>
      <c r="O11" t="s">
        <v>323</v>
      </c>
      <c r="Q11" t="s">
        <v>423</v>
      </c>
    </row>
    <row r="12" spans="2:17" x14ac:dyDescent="0.25">
      <c r="B12">
        <v>314039</v>
      </c>
      <c r="C12" t="s">
        <v>145</v>
      </c>
      <c r="D12">
        <v>314039</v>
      </c>
      <c r="E12">
        <v>314039</v>
      </c>
      <c r="F12">
        <v>314001</v>
      </c>
      <c r="G12" t="s">
        <v>121</v>
      </c>
      <c r="H12" t="s">
        <v>53</v>
      </c>
      <c r="J12" t="s">
        <v>339</v>
      </c>
      <c r="K12" t="s">
        <v>338</v>
      </c>
      <c r="L12" t="s">
        <v>125</v>
      </c>
      <c r="M12" t="s">
        <v>146</v>
      </c>
      <c r="N12" t="s">
        <v>147</v>
      </c>
      <c r="O12" t="s">
        <v>326</v>
      </c>
    </row>
    <row r="13" spans="2:17" x14ac:dyDescent="0.25">
      <c r="B13">
        <v>314050</v>
      </c>
      <c r="C13" t="s">
        <v>148</v>
      </c>
      <c r="D13">
        <v>314050</v>
      </c>
      <c r="E13">
        <v>314050</v>
      </c>
      <c r="F13">
        <v>313001</v>
      </c>
      <c r="G13" t="s">
        <v>118</v>
      </c>
      <c r="H13" t="s">
        <v>50</v>
      </c>
      <c r="J13" t="s">
        <v>340</v>
      </c>
      <c r="K13" t="s">
        <v>324</v>
      </c>
      <c r="L13" t="s">
        <v>125</v>
      </c>
      <c r="M13" t="s">
        <v>149</v>
      </c>
      <c r="N13" t="s">
        <v>150</v>
      </c>
      <c r="O13" t="s">
        <v>323</v>
      </c>
    </row>
    <row r="14" spans="2:17" x14ac:dyDescent="0.25">
      <c r="B14">
        <v>314083</v>
      </c>
      <c r="C14" t="s">
        <v>151</v>
      </c>
      <c r="D14">
        <v>314083</v>
      </c>
      <c r="E14">
        <v>314083</v>
      </c>
      <c r="F14">
        <v>313001</v>
      </c>
      <c r="G14" t="s">
        <v>118</v>
      </c>
      <c r="H14" t="s">
        <v>50</v>
      </c>
      <c r="J14" t="s">
        <v>341</v>
      </c>
      <c r="K14" t="s">
        <v>324</v>
      </c>
      <c r="L14" t="s">
        <v>125</v>
      </c>
      <c r="M14" t="s">
        <v>152</v>
      </c>
      <c r="N14" t="s">
        <v>153</v>
      </c>
      <c r="O14" t="s">
        <v>326</v>
      </c>
    </row>
    <row r="15" spans="2:17" x14ac:dyDescent="0.25">
      <c r="B15">
        <v>314112</v>
      </c>
      <c r="C15" t="s">
        <v>154</v>
      </c>
      <c r="D15">
        <v>314112</v>
      </c>
      <c r="E15">
        <v>314112</v>
      </c>
      <c r="F15">
        <v>313001</v>
      </c>
      <c r="G15" t="s">
        <v>118</v>
      </c>
      <c r="H15" t="s">
        <v>50</v>
      </c>
      <c r="J15" t="s">
        <v>342</v>
      </c>
      <c r="K15" t="s">
        <v>324</v>
      </c>
      <c r="L15" t="s">
        <v>125</v>
      </c>
      <c r="M15" t="s">
        <v>155</v>
      </c>
      <c r="N15" t="s">
        <v>156</v>
      </c>
      <c r="O15" t="s">
        <v>323</v>
      </c>
    </row>
    <row r="16" spans="2:17" x14ac:dyDescent="0.25">
      <c r="B16">
        <v>314113</v>
      </c>
      <c r="C16" t="s">
        <v>157</v>
      </c>
      <c r="D16">
        <v>314113</v>
      </c>
      <c r="E16">
        <v>314113</v>
      </c>
      <c r="F16">
        <v>313001</v>
      </c>
      <c r="G16" t="s">
        <v>118</v>
      </c>
      <c r="H16" t="s">
        <v>50</v>
      </c>
      <c r="J16" t="s">
        <v>343</v>
      </c>
      <c r="K16" t="s">
        <v>324</v>
      </c>
      <c r="L16" t="s">
        <v>125</v>
      </c>
      <c r="M16" t="s">
        <v>158</v>
      </c>
      <c r="N16" t="s">
        <v>159</v>
      </c>
      <c r="O16" t="s">
        <v>323</v>
      </c>
    </row>
    <row r="17" spans="2:15" x14ac:dyDescent="0.25">
      <c r="B17">
        <v>314116</v>
      </c>
      <c r="C17" t="s">
        <v>160</v>
      </c>
      <c r="D17">
        <v>314116</v>
      </c>
      <c r="E17">
        <v>314116</v>
      </c>
      <c r="F17">
        <v>314059</v>
      </c>
      <c r="G17" t="s">
        <v>163</v>
      </c>
      <c r="H17" t="s">
        <v>50</v>
      </c>
      <c r="J17" t="s">
        <v>344</v>
      </c>
      <c r="K17" t="s">
        <v>324</v>
      </c>
      <c r="L17" t="s">
        <v>125</v>
      </c>
      <c r="M17" t="s">
        <v>161</v>
      </c>
      <c r="N17" t="s">
        <v>162</v>
      </c>
      <c r="O17" t="s">
        <v>323</v>
      </c>
    </row>
    <row r="18" spans="2:15" x14ac:dyDescent="0.25">
      <c r="B18" t="s">
        <v>164</v>
      </c>
      <c r="C18" t="s">
        <v>165</v>
      </c>
      <c r="D18" t="s">
        <v>164</v>
      </c>
      <c r="E18" t="s">
        <v>164</v>
      </c>
      <c r="F18">
        <v>314001</v>
      </c>
      <c r="G18" t="s">
        <v>121</v>
      </c>
      <c r="H18" t="s">
        <v>53</v>
      </c>
      <c r="J18" t="s">
        <v>346</v>
      </c>
      <c r="K18" t="s">
        <v>319</v>
      </c>
      <c r="L18" t="s">
        <v>125</v>
      </c>
      <c r="M18" t="s">
        <v>119</v>
      </c>
      <c r="N18" t="s">
        <v>166</v>
      </c>
      <c r="O18" t="s">
        <v>345</v>
      </c>
    </row>
    <row r="19" spans="2:15" x14ac:dyDescent="0.25">
      <c r="B19">
        <v>313016</v>
      </c>
      <c r="C19" t="s">
        <v>167</v>
      </c>
      <c r="D19">
        <v>313016</v>
      </c>
      <c r="E19">
        <v>313016</v>
      </c>
      <c r="F19" t="s">
        <v>164</v>
      </c>
      <c r="G19" t="s">
        <v>165</v>
      </c>
      <c r="H19" t="s">
        <v>53</v>
      </c>
      <c r="J19" t="s">
        <v>347</v>
      </c>
      <c r="K19" t="s">
        <v>319</v>
      </c>
      <c r="L19" t="s">
        <v>169</v>
      </c>
      <c r="M19" t="s">
        <v>168</v>
      </c>
      <c r="N19" t="s">
        <v>166</v>
      </c>
      <c r="O19" t="s">
        <v>345</v>
      </c>
    </row>
    <row r="20" spans="2:15" x14ac:dyDescent="0.25">
      <c r="B20">
        <v>313018</v>
      </c>
      <c r="C20" t="s">
        <v>170</v>
      </c>
      <c r="D20">
        <v>313018</v>
      </c>
      <c r="E20">
        <v>313018</v>
      </c>
      <c r="F20">
        <v>314007</v>
      </c>
      <c r="G20" t="s">
        <v>136</v>
      </c>
      <c r="H20" t="s">
        <v>53</v>
      </c>
      <c r="J20" t="s">
        <v>348</v>
      </c>
      <c r="K20" t="s">
        <v>331</v>
      </c>
      <c r="L20" t="s">
        <v>169</v>
      </c>
      <c r="M20" t="s">
        <v>171</v>
      </c>
      <c r="N20" t="s">
        <v>138</v>
      </c>
      <c r="O20" t="s">
        <v>326</v>
      </c>
    </row>
    <row r="21" spans="2:15" x14ac:dyDescent="0.25">
      <c r="B21">
        <v>313023</v>
      </c>
      <c r="C21" t="s">
        <v>172</v>
      </c>
      <c r="D21">
        <v>313023</v>
      </c>
      <c r="E21">
        <v>313023</v>
      </c>
      <c r="F21">
        <v>314039</v>
      </c>
      <c r="G21" t="s">
        <v>145</v>
      </c>
      <c r="H21" t="s">
        <v>53</v>
      </c>
      <c r="J21" t="s">
        <v>349</v>
      </c>
      <c r="K21" t="s">
        <v>338</v>
      </c>
      <c r="L21" t="s">
        <v>169</v>
      </c>
      <c r="M21" t="s">
        <v>173</v>
      </c>
      <c r="N21" t="s">
        <v>147</v>
      </c>
      <c r="O21" t="s">
        <v>326</v>
      </c>
    </row>
    <row r="22" spans="2:15" x14ac:dyDescent="0.25">
      <c r="B22">
        <v>314013</v>
      </c>
      <c r="C22" t="s">
        <v>174</v>
      </c>
      <c r="D22">
        <v>314013</v>
      </c>
      <c r="E22">
        <v>314013</v>
      </c>
      <c r="F22">
        <v>314004</v>
      </c>
      <c r="G22" t="s">
        <v>130</v>
      </c>
      <c r="H22" t="s">
        <v>53</v>
      </c>
      <c r="J22" t="s">
        <v>350</v>
      </c>
      <c r="K22" t="s">
        <v>329</v>
      </c>
      <c r="L22" t="s">
        <v>169</v>
      </c>
      <c r="M22" t="s">
        <v>175</v>
      </c>
      <c r="N22" t="s">
        <v>132</v>
      </c>
      <c r="O22" t="s">
        <v>326</v>
      </c>
    </row>
    <row r="23" spans="2:15" x14ac:dyDescent="0.25">
      <c r="B23">
        <v>314022</v>
      </c>
      <c r="C23" t="s">
        <v>176</v>
      </c>
      <c r="D23">
        <v>314022</v>
      </c>
      <c r="E23">
        <v>314022</v>
      </c>
      <c r="F23">
        <v>314004</v>
      </c>
      <c r="G23" t="s">
        <v>130</v>
      </c>
      <c r="H23" t="s">
        <v>53</v>
      </c>
      <c r="J23" t="s">
        <v>351</v>
      </c>
      <c r="K23" t="s">
        <v>329</v>
      </c>
      <c r="L23" t="s">
        <v>169</v>
      </c>
      <c r="M23" t="s">
        <v>177</v>
      </c>
      <c r="N23" t="s">
        <v>132</v>
      </c>
      <c r="O23" t="s">
        <v>326</v>
      </c>
    </row>
    <row r="24" spans="2:15" x14ac:dyDescent="0.25">
      <c r="B24">
        <v>314033</v>
      </c>
      <c r="C24" t="s">
        <v>178</v>
      </c>
      <c r="D24">
        <v>314033</v>
      </c>
      <c r="E24">
        <v>314033</v>
      </c>
      <c r="F24">
        <v>314006</v>
      </c>
      <c r="G24" t="s">
        <v>133</v>
      </c>
      <c r="H24" t="s">
        <v>53</v>
      </c>
      <c r="J24" t="s">
        <v>352</v>
      </c>
      <c r="K24" t="s">
        <v>331</v>
      </c>
      <c r="L24" t="s">
        <v>169</v>
      </c>
      <c r="M24" t="s">
        <v>179</v>
      </c>
      <c r="N24" t="s">
        <v>135</v>
      </c>
      <c r="O24" t="s">
        <v>326</v>
      </c>
    </row>
    <row r="25" spans="2:15" x14ac:dyDescent="0.25">
      <c r="B25">
        <v>314041</v>
      </c>
      <c r="C25" t="s">
        <v>180</v>
      </c>
      <c r="D25">
        <v>314041</v>
      </c>
      <c r="E25">
        <v>314041</v>
      </c>
      <c r="F25">
        <v>314003</v>
      </c>
      <c r="G25" t="s">
        <v>127</v>
      </c>
      <c r="H25" t="s">
        <v>53</v>
      </c>
      <c r="J25" t="s">
        <v>353</v>
      </c>
      <c r="K25" t="s">
        <v>327</v>
      </c>
      <c r="L25" t="s">
        <v>169</v>
      </c>
      <c r="M25" t="s">
        <v>181</v>
      </c>
      <c r="N25" t="s">
        <v>129</v>
      </c>
      <c r="O25" t="s">
        <v>326</v>
      </c>
    </row>
    <row r="26" spans="2:15" x14ac:dyDescent="0.25">
      <c r="B26">
        <v>314044</v>
      </c>
      <c r="C26" t="s">
        <v>182</v>
      </c>
      <c r="D26">
        <v>314044</v>
      </c>
      <c r="E26">
        <v>314044</v>
      </c>
      <c r="F26">
        <v>314003</v>
      </c>
      <c r="G26" t="s">
        <v>127</v>
      </c>
      <c r="H26" t="s">
        <v>53</v>
      </c>
      <c r="J26" t="s">
        <v>354</v>
      </c>
      <c r="K26" t="s">
        <v>327</v>
      </c>
      <c r="L26" t="s">
        <v>169</v>
      </c>
      <c r="M26" t="s">
        <v>183</v>
      </c>
      <c r="N26" t="s">
        <v>129</v>
      </c>
      <c r="O26" t="s">
        <v>326</v>
      </c>
    </row>
    <row r="27" spans="2:15" x14ac:dyDescent="0.25">
      <c r="B27">
        <v>314057</v>
      </c>
      <c r="C27" t="s">
        <v>184</v>
      </c>
      <c r="D27">
        <v>314057</v>
      </c>
      <c r="E27">
        <v>314057</v>
      </c>
      <c r="F27">
        <v>314007</v>
      </c>
      <c r="G27" t="s">
        <v>136</v>
      </c>
      <c r="H27" t="s">
        <v>53</v>
      </c>
      <c r="J27" t="s">
        <v>355</v>
      </c>
      <c r="K27" t="s">
        <v>333</v>
      </c>
      <c r="L27" t="s">
        <v>169</v>
      </c>
      <c r="M27" t="s">
        <v>185</v>
      </c>
      <c r="N27" t="s">
        <v>138</v>
      </c>
      <c r="O27" t="s">
        <v>326</v>
      </c>
    </row>
    <row r="28" spans="2:15" x14ac:dyDescent="0.25">
      <c r="B28">
        <v>314061</v>
      </c>
      <c r="C28" t="s">
        <v>186</v>
      </c>
      <c r="D28">
        <v>314061</v>
      </c>
      <c r="E28">
        <v>314061</v>
      </c>
      <c r="F28">
        <v>314008</v>
      </c>
      <c r="G28" t="s">
        <v>139</v>
      </c>
      <c r="H28" t="s">
        <v>53</v>
      </c>
      <c r="J28" t="s">
        <v>356</v>
      </c>
      <c r="K28" t="s">
        <v>335</v>
      </c>
      <c r="L28" t="s">
        <v>169</v>
      </c>
      <c r="M28" t="s">
        <v>187</v>
      </c>
      <c r="N28" t="s">
        <v>141</v>
      </c>
      <c r="O28" t="s">
        <v>326</v>
      </c>
    </row>
    <row r="29" spans="2:15" x14ac:dyDescent="0.25">
      <c r="B29">
        <v>314062</v>
      </c>
      <c r="C29" t="s">
        <v>188</v>
      </c>
      <c r="D29">
        <v>314062</v>
      </c>
      <c r="E29">
        <v>314062</v>
      </c>
      <c r="F29">
        <v>314004</v>
      </c>
      <c r="G29" t="s">
        <v>130</v>
      </c>
      <c r="H29" t="s">
        <v>53</v>
      </c>
      <c r="J29" t="s">
        <v>357</v>
      </c>
      <c r="K29" t="s">
        <v>329</v>
      </c>
      <c r="L29" t="s">
        <v>169</v>
      </c>
      <c r="M29" t="s">
        <v>189</v>
      </c>
      <c r="N29" t="s">
        <v>132</v>
      </c>
      <c r="O29" t="s">
        <v>326</v>
      </c>
    </row>
    <row r="30" spans="2:15" x14ac:dyDescent="0.25">
      <c r="B30">
        <v>314068</v>
      </c>
      <c r="C30" t="s">
        <v>190</v>
      </c>
      <c r="D30">
        <v>314068</v>
      </c>
      <c r="E30">
        <v>314068</v>
      </c>
      <c r="F30">
        <v>314004</v>
      </c>
      <c r="G30" t="s">
        <v>130</v>
      </c>
      <c r="H30" t="s">
        <v>53</v>
      </c>
      <c r="J30" t="s">
        <v>358</v>
      </c>
      <c r="K30" t="s">
        <v>329</v>
      </c>
      <c r="L30" t="s">
        <v>169</v>
      </c>
      <c r="M30" t="s">
        <v>191</v>
      </c>
      <c r="N30" t="s">
        <v>132</v>
      </c>
      <c r="O30" t="s">
        <v>326</v>
      </c>
    </row>
    <row r="31" spans="2:15" x14ac:dyDescent="0.25">
      <c r="B31">
        <v>314069</v>
      </c>
      <c r="C31" t="s">
        <v>192</v>
      </c>
      <c r="D31">
        <v>314069</v>
      </c>
      <c r="E31">
        <v>314069</v>
      </c>
      <c r="F31">
        <v>314004</v>
      </c>
      <c r="G31" t="s">
        <v>130</v>
      </c>
      <c r="H31" t="s">
        <v>53</v>
      </c>
      <c r="J31" t="s">
        <v>359</v>
      </c>
      <c r="K31" t="s">
        <v>329</v>
      </c>
      <c r="L31" t="s">
        <v>169</v>
      </c>
      <c r="M31" t="s">
        <v>193</v>
      </c>
      <c r="N31" t="s">
        <v>132</v>
      </c>
      <c r="O31" t="s">
        <v>326</v>
      </c>
    </row>
    <row r="32" spans="2:15" x14ac:dyDescent="0.25">
      <c r="B32">
        <v>314072</v>
      </c>
      <c r="C32" t="s">
        <v>194</v>
      </c>
      <c r="D32">
        <v>314072</v>
      </c>
      <c r="E32">
        <v>314072</v>
      </c>
      <c r="F32">
        <v>314004</v>
      </c>
      <c r="G32" t="s">
        <v>130</v>
      </c>
      <c r="H32" t="s">
        <v>53</v>
      </c>
      <c r="J32" t="s">
        <v>360</v>
      </c>
      <c r="K32" t="s">
        <v>329</v>
      </c>
      <c r="L32" t="s">
        <v>169</v>
      </c>
      <c r="M32" t="s">
        <v>195</v>
      </c>
      <c r="N32" t="s">
        <v>132</v>
      </c>
      <c r="O32" t="s">
        <v>326</v>
      </c>
    </row>
    <row r="33" spans="2:15" x14ac:dyDescent="0.25">
      <c r="B33">
        <v>314076</v>
      </c>
      <c r="C33" t="s">
        <v>196</v>
      </c>
      <c r="D33">
        <v>314076</v>
      </c>
      <c r="E33">
        <v>314076</v>
      </c>
      <c r="F33">
        <v>314004</v>
      </c>
      <c r="G33" t="s">
        <v>130</v>
      </c>
      <c r="H33" t="s">
        <v>53</v>
      </c>
      <c r="J33" t="s">
        <v>361</v>
      </c>
      <c r="K33" t="s">
        <v>329</v>
      </c>
      <c r="L33" t="s">
        <v>169</v>
      </c>
      <c r="M33" t="s">
        <v>197</v>
      </c>
      <c r="N33" t="s">
        <v>132</v>
      </c>
      <c r="O33" t="s">
        <v>326</v>
      </c>
    </row>
    <row r="34" spans="2:15" x14ac:dyDescent="0.25">
      <c r="B34">
        <v>314082</v>
      </c>
      <c r="C34" t="s">
        <v>198</v>
      </c>
      <c r="D34">
        <v>314082</v>
      </c>
      <c r="E34">
        <v>314082</v>
      </c>
      <c r="F34">
        <v>314007</v>
      </c>
      <c r="G34" t="s">
        <v>136</v>
      </c>
      <c r="H34" t="s">
        <v>53</v>
      </c>
      <c r="J34" t="s">
        <v>362</v>
      </c>
      <c r="K34" t="s">
        <v>333</v>
      </c>
      <c r="L34" t="s">
        <v>169</v>
      </c>
      <c r="M34" t="s">
        <v>199</v>
      </c>
      <c r="N34" t="s">
        <v>138</v>
      </c>
      <c r="O34" t="s">
        <v>326</v>
      </c>
    </row>
    <row r="35" spans="2:15" x14ac:dyDescent="0.25">
      <c r="B35">
        <v>314084</v>
      </c>
      <c r="C35" t="s">
        <v>200</v>
      </c>
      <c r="D35">
        <v>314084</v>
      </c>
      <c r="E35">
        <v>314084</v>
      </c>
      <c r="F35">
        <v>314006</v>
      </c>
      <c r="G35" t="s">
        <v>133</v>
      </c>
      <c r="H35" t="s">
        <v>53</v>
      </c>
      <c r="J35" t="s">
        <v>363</v>
      </c>
      <c r="K35" t="s">
        <v>331</v>
      </c>
      <c r="L35" t="s">
        <v>169</v>
      </c>
      <c r="M35" t="s">
        <v>201</v>
      </c>
      <c r="N35" t="s">
        <v>135</v>
      </c>
      <c r="O35" t="s">
        <v>326</v>
      </c>
    </row>
    <row r="36" spans="2:15" x14ac:dyDescent="0.25">
      <c r="B36">
        <v>314086</v>
      </c>
      <c r="C36" t="s">
        <v>202</v>
      </c>
      <c r="D36">
        <v>314086</v>
      </c>
      <c r="E36">
        <v>314086</v>
      </c>
      <c r="F36">
        <v>314008</v>
      </c>
      <c r="G36" t="s">
        <v>139</v>
      </c>
      <c r="H36" t="s">
        <v>53</v>
      </c>
      <c r="J36" t="s">
        <v>364</v>
      </c>
      <c r="K36" t="s">
        <v>335</v>
      </c>
      <c r="L36" t="s">
        <v>169</v>
      </c>
      <c r="M36" t="s">
        <v>203</v>
      </c>
      <c r="N36" t="s">
        <v>141</v>
      </c>
      <c r="O36" t="s">
        <v>326</v>
      </c>
    </row>
    <row r="37" spans="2:15" x14ac:dyDescent="0.25">
      <c r="B37">
        <v>314088</v>
      </c>
      <c r="C37" t="s">
        <v>204</v>
      </c>
      <c r="D37">
        <v>314088</v>
      </c>
      <c r="E37">
        <v>314088</v>
      </c>
      <c r="F37">
        <v>314004</v>
      </c>
      <c r="G37" t="s">
        <v>130</v>
      </c>
      <c r="H37" t="s">
        <v>53</v>
      </c>
      <c r="J37" t="s">
        <v>365</v>
      </c>
      <c r="K37" t="s">
        <v>329</v>
      </c>
      <c r="L37" t="s">
        <v>169</v>
      </c>
      <c r="M37" t="s">
        <v>205</v>
      </c>
      <c r="N37" t="s">
        <v>132</v>
      </c>
      <c r="O37" t="s">
        <v>326</v>
      </c>
    </row>
    <row r="38" spans="2:15" x14ac:dyDescent="0.25">
      <c r="B38">
        <v>314090</v>
      </c>
      <c r="C38" t="s">
        <v>206</v>
      </c>
      <c r="D38">
        <v>314090</v>
      </c>
      <c r="E38">
        <v>314090</v>
      </c>
      <c r="F38">
        <v>314009</v>
      </c>
      <c r="G38" t="s">
        <v>142</v>
      </c>
      <c r="H38" t="s">
        <v>50</v>
      </c>
      <c r="J38" t="s">
        <v>366</v>
      </c>
      <c r="K38" t="s">
        <v>324</v>
      </c>
      <c r="L38" t="s">
        <v>169</v>
      </c>
      <c r="M38" t="s">
        <v>207</v>
      </c>
      <c r="N38" t="s">
        <v>144</v>
      </c>
      <c r="O38" t="s">
        <v>323</v>
      </c>
    </row>
    <row r="39" spans="2:15" x14ac:dyDescent="0.25">
      <c r="B39">
        <v>314094</v>
      </c>
      <c r="C39" t="s">
        <v>208</v>
      </c>
      <c r="D39">
        <v>314094</v>
      </c>
      <c r="E39">
        <v>314094</v>
      </c>
      <c r="F39">
        <v>314007</v>
      </c>
      <c r="G39" t="s">
        <v>136</v>
      </c>
      <c r="H39" t="s">
        <v>53</v>
      </c>
      <c r="J39" t="s">
        <v>367</v>
      </c>
      <c r="K39" t="s">
        <v>333</v>
      </c>
      <c r="L39" t="s">
        <v>169</v>
      </c>
      <c r="M39" t="s">
        <v>209</v>
      </c>
      <c r="N39" t="s">
        <v>138</v>
      </c>
      <c r="O39" t="s">
        <v>326</v>
      </c>
    </row>
    <row r="40" spans="2:15" x14ac:dyDescent="0.25">
      <c r="B40">
        <v>314095</v>
      </c>
      <c r="C40" t="s">
        <v>210</v>
      </c>
      <c r="D40">
        <v>314095</v>
      </c>
      <c r="E40">
        <v>314095</v>
      </c>
      <c r="F40">
        <v>314004</v>
      </c>
      <c r="G40" t="s">
        <v>130</v>
      </c>
      <c r="H40" t="s">
        <v>53</v>
      </c>
      <c r="J40" t="s">
        <v>368</v>
      </c>
      <c r="K40" t="s">
        <v>329</v>
      </c>
      <c r="L40" t="s">
        <v>169</v>
      </c>
      <c r="M40" t="s">
        <v>211</v>
      </c>
      <c r="N40" t="s">
        <v>132</v>
      </c>
      <c r="O40" t="s">
        <v>326</v>
      </c>
    </row>
    <row r="41" spans="2:15" x14ac:dyDescent="0.25">
      <c r="B41">
        <v>314096</v>
      </c>
      <c r="C41" t="s">
        <v>212</v>
      </c>
      <c r="D41">
        <v>314096</v>
      </c>
      <c r="E41">
        <v>314096</v>
      </c>
      <c r="F41">
        <v>314007</v>
      </c>
      <c r="G41" t="s">
        <v>136</v>
      </c>
      <c r="H41" t="s">
        <v>53</v>
      </c>
      <c r="J41" t="s">
        <v>369</v>
      </c>
      <c r="K41" t="s">
        <v>333</v>
      </c>
      <c r="L41" t="s">
        <v>169</v>
      </c>
      <c r="M41" t="s">
        <v>205</v>
      </c>
      <c r="N41" t="s">
        <v>138</v>
      </c>
      <c r="O41" t="s">
        <v>326</v>
      </c>
    </row>
    <row r="42" spans="2:15" x14ac:dyDescent="0.25">
      <c r="B42">
        <v>314105</v>
      </c>
      <c r="C42" t="s">
        <v>213</v>
      </c>
      <c r="D42">
        <v>314105</v>
      </c>
      <c r="E42">
        <v>314105</v>
      </c>
      <c r="F42">
        <v>314004</v>
      </c>
      <c r="G42" t="s">
        <v>130</v>
      </c>
      <c r="H42" t="s">
        <v>53</v>
      </c>
      <c r="J42" t="s">
        <v>370</v>
      </c>
      <c r="K42" t="s">
        <v>329</v>
      </c>
      <c r="L42" t="s">
        <v>169</v>
      </c>
      <c r="M42" t="s">
        <v>214</v>
      </c>
      <c r="N42" t="s">
        <v>132</v>
      </c>
      <c r="O42" t="s">
        <v>326</v>
      </c>
    </row>
    <row r="43" spans="2:15" x14ac:dyDescent="0.25">
      <c r="B43">
        <v>314107</v>
      </c>
      <c r="C43" t="s">
        <v>215</v>
      </c>
      <c r="D43">
        <v>314107</v>
      </c>
      <c r="E43">
        <v>314107</v>
      </c>
      <c r="F43">
        <v>314003</v>
      </c>
      <c r="G43" t="s">
        <v>127</v>
      </c>
      <c r="H43" t="s">
        <v>53</v>
      </c>
      <c r="J43" t="s">
        <v>371</v>
      </c>
      <c r="K43" t="s">
        <v>327</v>
      </c>
      <c r="L43" t="s">
        <v>169</v>
      </c>
      <c r="M43" t="s">
        <v>216</v>
      </c>
      <c r="N43" t="s">
        <v>129</v>
      </c>
      <c r="O43" t="s">
        <v>326</v>
      </c>
    </row>
    <row r="44" spans="2:15" x14ac:dyDescent="0.25">
      <c r="B44">
        <v>314118</v>
      </c>
      <c r="C44" t="s">
        <v>217</v>
      </c>
      <c r="D44">
        <v>314118</v>
      </c>
      <c r="E44">
        <v>314118</v>
      </c>
      <c r="F44">
        <v>314003</v>
      </c>
      <c r="G44" t="s">
        <v>127</v>
      </c>
      <c r="H44" t="s">
        <v>53</v>
      </c>
      <c r="J44" t="s">
        <v>372</v>
      </c>
      <c r="K44" t="s">
        <v>327</v>
      </c>
      <c r="L44" t="s">
        <v>169</v>
      </c>
      <c r="M44" t="s">
        <v>218</v>
      </c>
      <c r="N44" t="s">
        <v>129</v>
      </c>
      <c r="O44" t="s">
        <v>326</v>
      </c>
    </row>
    <row r="45" spans="2:15" x14ac:dyDescent="0.25">
      <c r="B45">
        <v>314119</v>
      </c>
      <c r="C45" t="s">
        <v>219</v>
      </c>
      <c r="D45">
        <v>314119</v>
      </c>
      <c r="E45">
        <v>314119</v>
      </c>
      <c r="F45">
        <v>314006</v>
      </c>
      <c r="G45" t="s">
        <v>133</v>
      </c>
      <c r="H45" t="s">
        <v>53</v>
      </c>
      <c r="J45" t="s">
        <v>373</v>
      </c>
      <c r="K45" t="s">
        <v>331</v>
      </c>
      <c r="L45" t="s">
        <v>169</v>
      </c>
      <c r="M45" t="s">
        <v>220</v>
      </c>
      <c r="N45" t="s">
        <v>135</v>
      </c>
      <c r="O45" t="s">
        <v>326</v>
      </c>
    </row>
    <row r="46" spans="2:15" x14ac:dyDescent="0.25">
      <c r="B46">
        <v>314120</v>
      </c>
      <c r="C46" t="s">
        <v>221</v>
      </c>
      <c r="D46">
        <v>314120</v>
      </c>
      <c r="E46">
        <v>314120</v>
      </c>
      <c r="F46">
        <v>314006</v>
      </c>
      <c r="G46" t="s">
        <v>133</v>
      </c>
      <c r="H46" t="s">
        <v>53</v>
      </c>
      <c r="J46" t="s">
        <v>374</v>
      </c>
      <c r="K46" t="s">
        <v>331</v>
      </c>
      <c r="L46" t="s">
        <v>169</v>
      </c>
      <c r="M46" t="s">
        <v>222</v>
      </c>
      <c r="N46" t="s">
        <v>135</v>
      </c>
      <c r="O46" t="s">
        <v>326</v>
      </c>
    </row>
    <row r="47" spans="2:15" x14ac:dyDescent="0.25">
      <c r="B47">
        <v>314121</v>
      </c>
      <c r="C47" t="s">
        <v>223</v>
      </c>
      <c r="D47">
        <v>314121</v>
      </c>
      <c r="E47">
        <v>314121</v>
      </c>
      <c r="F47">
        <v>314003</v>
      </c>
      <c r="G47" t="s">
        <v>127</v>
      </c>
      <c r="H47" t="s">
        <v>53</v>
      </c>
      <c r="J47" t="s">
        <v>375</v>
      </c>
      <c r="K47" t="s">
        <v>327</v>
      </c>
      <c r="L47" t="s">
        <v>169</v>
      </c>
      <c r="M47" t="s">
        <v>224</v>
      </c>
      <c r="N47" t="s">
        <v>129</v>
      </c>
      <c r="O47" t="s">
        <v>326</v>
      </c>
    </row>
    <row r="48" spans="2:15" x14ac:dyDescent="0.25">
      <c r="B48">
        <v>313002</v>
      </c>
      <c r="C48" t="s">
        <v>225</v>
      </c>
      <c r="D48">
        <v>313002</v>
      </c>
      <c r="E48">
        <v>313002</v>
      </c>
      <c r="F48">
        <v>313016</v>
      </c>
      <c r="G48" t="s">
        <v>167</v>
      </c>
      <c r="H48" t="s">
        <v>53</v>
      </c>
      <c r="J48" t="s">
        <v>376</v>
      </c>
      <c r="K48" t="s">
        <v>329</v>
      </c>
      <c r="L48" t="s">
        <v>227</v>
      </c>
      <c r="M48" t="s">
        <v>226</v>
      </c>
      <c r="N48" t="s">
        <v>166</v>
      </c>
      <c r="O48" t="s">
        <v>345</v>
      </c>
    </row>
    <row r="49" spans="2:15" x14ac:dyDescent="0.25">
      <c r="B49">
        <v>313014</v>
      </c>
      <c r="C49" t="s">
        <v>228</v>
      </c>
      <c r="D49">
        <v>313014</v>
      </c>
      <c r="E49">
        <v>313014</v>
      </c>
      <c r="F49">
        <v>313016</v>
      </c>
      <c r="G49" t="s">
        <v>167</v>
      </c>
      <c r="H49" t="s">
        <v>53</v>
      </c>
      <c r="J49" t="s">
        <v>377</v>
      </c>
      <c r="K49" t="s">
        <v>329</v>
      </c>
      <c r="L49" t="s">
        <v>227</v>
      </c>
      <c r="M49" t="s">
        <v>229</v>
      </c>
      <c r="N49" t="s">
        <v>166</v>
      </c>
      <c r="O49" t="s">
        <v>345</v>
      </c>
    </row>
    <row r="50" spans="2:15" x14ac:dyDescent="0.25">
      <c r="B50">
        <v>313031</v>
      </c>
      <c r="C50" t="s">
        <v>230</v>
      </c>
      <c r="D50">
        <v>313031</v>
      </c>
      <c r="E50">
        <v>313031</v>
      </c>
      <c r="F50">
        <v>314003</v>
      </c>
      <c r="G50" t="s">
        <v>127</v>
      </c>
      <c r="H50" t="s">
        <v>53</v>
      </c>
      <c r="J50" t="s">
        <v>379</v>
      </c>
      <c r="K50" t="s">
        <v>378</v>
      </c>
      <c r="L50" t="s">
        <v>227</v>
      </c>
      <c r="M50" t="s">
        <v>231</v>
      </c>
      <c r="N50" t="s">
        <v>166</v>
      </c>
      <c r="O50" t="s">
        <v>345</v>
      </c>
    </row>
    <row r="51" spans="2:15" x14ac:dyDescent="0.25">
      <c r="B51">
        <v>313037</v>
      </c>
      <c r="C51" t="s">
        <v>232</v>
      </c>
      <c r="D51">
        <v>313037</v>
      </c>
      <c r="E51">
        <v>313037</v>
      </c>
      <c r="F51">
        <v>313016</v>
      </c>
      <c r="G51" t="s">
        <v>167</v>
      </c>
      <c r="H51" t="s">
        <v>53</v>
      </c>
      <c r="J51" t="s">
        <v>380</v>
      </c>
      <c r="K51" t="s">
        <v>378</v>
      </c>
      <c r="L51" t="s">
        <v>227</v>
      </c>
      <c r="M51" t="s">
        <v>233</v>
      </c>
      <c r="N51" t="s">
        <v>166</v>
      </c>
      <c r="O51" t="s">
        <v>345</v>
      </c>
    </row>
    <row r="52" spans="2:15" x14ac:dyDescent="0.25">
      <c r="B52">
        <v>313041</v>
      </c>
      <c r="C52" t="s">
        <v>234</v>
      </c>
      <c r="D52">
        <v>313041</v>
      </c>
      <c r="E52">
        <v>313041</v>
      </c>
      <c r="F52">
        <v>314039</v>
      </c>
      <c r="G52" t="s">
        <v>145</v>
      </c>
      <c r="H52" t="s">
        <v>53</v>
      </c>
      <c r="J52" t="s">
        <v>381</v>
      </c>
      <c r="K52" t="s">
        <v>378</v>
      </c>
      <c r="L52" t="s">
        <v>169</v>
      </c>
      <c r="M52" t="s">
        <v>235</v>
      </c>
      <c r="N52" t="s">
        <v>147</v>
      </c>
      <c r="O52" t="s">
        <v>345</v>
      </c>
    </row>
    <row r="53" spans="2:15" x14ac:dyDescent="0.25">
      <c r="B53">
        <v>313042</v>
      </c>
      <c r="C53" t="s">
        <v>236</v>
      </c>
      <c r="D53">
        <v>313042</v>
      </c>
      <c r="E53">
        <v>313042</v>
      </c>
      <c r="F53">
        <v>313016</v>
      </c>
      <c r="G53" t="s">
        <v>167</v>
      </c>
      <c r="H53" t="s">
        <v>53</v>
      </c>
      <c r="J53" t="s">
        <v>382</v>
      </c>
      <c r="K53" t="s">
        <v>378</v>
      </c>
      <c r="L53" t="s">
        <v>227</v>
      </c>
      <c r="M53" t="s">
        <v>237</v>
      </c>
      <c r="N53" t="s">
        <v>166</v>
      </c>
      <c r="O53" t="s">
        <v>345</v>
      </c>
    </row>
    <row r="54" spans="2:15" x14ac:dyDescent="0.25">
      <c r="B54">
        <v>313043</v>
      </c>
      <c r="C54" t="s">
        <v>238</v>
      </c>
      <c r="D54">
        <v>313043</v>
      </c>
      <c r="E54">
        <v>313043</v>
      </c>
      <c r="F54">
        <v>313016</v>
      </c>
      <c r="G54" t="s">
        <v>167</v>
      </c>
      <c r="H54" t="s">
        <v>53</v>
      </c>
      <c r="J54" t="s">
        <v>383</v>
      </c>
      <c r="K54" t="s">
        <v>378</v>
      </c>
      <c r="L54" t="s">
        <v>227</v>
      </c>
      <c r="M54" t="s">
        <v>239</v>
      </c>
      <c r="N54" t="s">
        <v>166</v>
      </c>
      <c r="O54" t="s">
        <v>345</v>
      </c>
    </row>
    <row r="55" spans="2:15" x14ac:dyDescent="0.25">
      <c r="B55">
        <v>313044</v>
      </c>
      <c r="C55" t="s">
        <v>240</v>
      </c>
      <c r="D55">
        <v>313044</v>
      </c>
      <c r="E55">
        <v>313044</v>
      </c>
      <c r="F55">
        <v>313016</v>
      </c>
      <c r="G55" t="s">
        <v>167</v>
      </c>
      <c r="H55" t="s">
        <v>53</v>
      </c>
      <c r="J55" t="s">
        <v>384</v>
      </c>
      <c r="K55" t="s">
        <v>378</v>
      </c>
      <c r="L55" t="s">
        <v>227</v>
      </c>
      <c r="M55" t="s">
        <v>241</v>
      </c>
      <c r="N55" t="s">
        <v>166</v>
      </c>
      <c r="O55" t="s">
        <v>345</v>
      </c>
    </row>
    <row r="56" spans="2:15" x14ac:dyDescent="0.25">
      <c r="B56">
        <v>315009</v>
      </c>
      <c r="C56" t="s">
        <v>242</v>
      </c>
      <c r="D56">
        <v>315009</v>
      </c>
      <c r="E56">
        <v>315009</v>
      </c>
      <c r="F56">
        <v>313016</v>
      </c>
      <c r="G56" t="s">
        <v>167</v>
      </c>
      <c r="H56" t="s">
        <v>53</v>
      </c>
      <c r="J56" t="s">
        <v>386</v>
      </c>
      <c r="K56" t="s">
        <v>319</v>
      </c>
      <c r="L56" t="s">
        <v>227</v>
      </c>
      <c r="M56" t="s">
        <v>243</v>
      </c>
      <c r="N56" t="s">
        <v>244</v>
      </c>
      <c r="O56" t="s">
        <v>385</v>
      </c>
    </row>
    <row r="57" spans="2:15" x14ac:dyDescent="0.25">
      <c r="B57" t="s">
        <v>245</v>
      </c>
      <c r="C57" t="s">
        <v>246</v>
      </c>
      <c r="D57" t="s">
        <v>245</v>
      </c>
      <c r="E57" t="s">
        <v>245</v>
      </c>
      <c r="F57">
        <v>313016</v>
      </c>
      <c r="G57" t="s">
        <v>167</v>
      </c>
      <c r="H57" t="s">
        <v>53</v>
      </c>
      <c r="J57" t="s">
        <v>387</v>
      </c>
      <c r="K57" t="s">
        <v>378</v>
      </c>
      <c r="L57" t="s">
        <v>227</v>
      </c>
      <c r="M57" t="s">
        <v>177</v>
      </c>
      <c r="N57" t="s">
        <v>166</v>
      </c>
      <c r="O57" t="s">
        <v>345</v>
      </c>
    </row>
    <row r="58" spans="2:15" x14ac:dyDescent="0.25">
      <c r="B58">
        <v>313004</v>
      </c>
      <c r="C58" t="s">
        <v>247</v>
      </c>
      <c r="D58">
        <v>313004</v>
      </c>
      <c r="E58">
        <v>313004</v>
      </c>
      <c r="F58" t="s">
        <v>245</v>
      </c>
      <c r="G58" t="s">
        <v>246</v>
      </c>
      <c r="H58" t="s">
        <v>53</v>
      </c>
      <c r="J58" t="s">
        <v>388</v>
      </c>
      <c r="K58" t="s">
        <v>329</v>
      </c>
      <c r="L58" t="s">
        <v>249</v>
      </c>
      <c r="M58" t="s">
        <v>248</v>
      </c>
      <c r="N58" t="s">
        <v>250</v>
      </c>
      <c r="O58" t="s">
        <v>345</v>
      </c>
    </row>
    <row r="59" spans="2:15" x14ac:dyDescent="0.25">
      <c r="B59">
        <v>313008</v>
      </c>
      <c r="C59" t="s">
        <v>251</v>
      </c>
      <c r="D59">
        <v>313008</v>
      </c>
      <c r="E59">
        <v>313008</v>
      </c>
      <c r="F59">
        <v>313016</v>
      </c>
      <c r="G59" t="s">
        <v>167</v>
      </c>
      <c r="H59" t="s">
        <v>53</v>
      </c>
      <c r="J59" t="s">
        <v>389</v>
      </c>
      <c r="K59" t="s">
        <v>329</v>
      </c>
      <c r="L59" t="s">
        <v>227</v>
      </c>
      <c r="M59">
        <v>313</v>
      </c>
      <c r="N59" t="s">
        <v>166</v>
      </c>
      <c r="O59" t="s">
        <v>345</v>
      </c>
    </row>
    <row r="60" spans="2:15" x14ac:dyDescent="0.25">
      <c r="B60">
        <v>313036</v>
      </c>
      <c r="C60" t="s">
        <v>252</v>
      </c>
      <c r="D60">
        <v>313036</v>
      </c>
      <c r="E60">
        <v>313036</v>
      </c>
      <c r="F60">
        <v>313014</v>
      </c>
      <c r="G60" t="s">
        <v>228</v>
      </c>
      <c r="H60" t="s">
        <v>53</v>
      </c>
      <c r="J60" t="s">
        <v>390</v>
      </c>
      <c r="K60" t="s">
        <v>329</v>
      </c>
      <c r="L60" t="s">
        <v>249</v>
      </c>
      <c r="M60" t="s">
        <v>253</v>
      </c>
      <c r="N60" t="s">
        <v>254</v>
      </c>
      <c r="O60" t="s">
        <v>345</v>
      </c>
    </row>
    <row r="61" spans="2:15" x14ac:dyDescent="0.25">
      <c r="B61">
        <v>313045</v>
      </c>
      <c r="C61" t="s">
        <v>255</v>
      </c>
      <c r="D61">
        <v>313045</v>
      </c>
      <c r="E61">
        <v>313045</v>
      </c>
      <c r="F61" t="s">
        <v>245</v>
      </c>
      <c r="G61" t="s">
        <v>246</v>
      </c>
      <c r="H61" t="s">
        <v>53</v>
      </c>
      <c r="J61" t="s">
        <v>391</v>
      </c>
      <c r="K61" t="s">
        <v>378</v>
      </c>
      <c r="L61" t="s">
        <v>249</v>
      </c>
      <c r="M61" t="s">
        <v>256</v>
      </c>
      <c r="N61" t="s">
        <v>250</v>
      </c>
      <c r="O61" t="s">
        <v>345</v>
      </c>
    </row>
    <row r="62" spans="2:15" x14ac:dyDescent="0.25">
      <c r="B62">
        <v>314017</v>
      </c>
      <c r="C62" t="s">
        <v>257</v>
      </c>
      <c r="D62">
        <v>314017</v>
      </c>
      <c r="E62">
        <v>314017</v>
      </c>
      <c r="F62" t="s">
        <v>245</v>
      </c>
      <c r="G62" t="s">
        <v>246</v>
      </c>
      <c r="H62" t="s">
        <v>53</v>
      </c>
      <c r="J62" t="s">
        <v>392</v>
      </c>
      <c r="K62" t="s">
        <v>378</v>
      </c>
      <c r="L62" t="s">
        <v>249</v>
      </c>
      <c r="M62" t="s">
        <v>193</v>
      </c>
      <c r="N62" t="s">
        <v>250</v>
      </c>
      <c r="O62" t="s">
        <v>345</v>
      </c>
    </row>
    <row r="63" spans="2:15" x14ac:dyDescent="0.25">
      <c r="B63">
        <v>315014</v>
      </c>
      <c r="C63" t="s">
        <v>258</v>
      </c>
      <c r="D63">
        <v>315014</v>
      </c>
      <c r="E63">
        <v>315014</v>
      </c>
      <c r="F63">
        <v>315009</v>
      </c>
      <c r="G63" t="s">
        <v>242</v>
      </c>
      <c r="H63" t="s">
        <v>53</v>
      </c>
      <c r="J63" t="s">
        <v>393</v>
      </c>
      <c r="K63" t="s">
        <v>319</v>
      </c>
      <c r="L63" t="s">
        <v>249</v>
      </c>
      <c r="M63" t="s">
        <v>259</v>
      </c>
      <c r="N63" t="s">
        <v>244</v>
      </c>
      <c r="O63" t="s">
        <v>385</v>
      </c>
    </row>
    <row r="64" spans="2:15" x14ac:dyDescent="0.25">
      <c r="B64">
        <v>315018</v>
      </c>
      <c r="C64" t="s">
        <v>260</v>
      </c>
      <c r="D64">
        <v>315018</v>
      </c>
      <c r="E64">
        <v>315018</v>
      </c>
      <c r="F64">
        <v>313014</v>
      </c>
      <c r="G64" t="s">
        <v>228</v>
      </c>
      <c r="H64" t="s">
        <v>53</v>
      </c>
      <c r="J64" t="s">
        <v>394</v>
      </c>
      <c r="K64" t="s">
        <v>329</v>
      </c>
      <c r="L64" t="s">
        <v>249</v>
      </c>
      <c r="M64" t="s">
        <v>261</v>
      </c>
      <c r="N64" t="s">
        <v>254</v>
      </c>
      <c r="O64" t="s">
        <v>345</v>
      </c>
    </row>
    <row r="65" spans="2:15" x14ac:dyDescent="0.25">
      <c r="B65">
        <v>315021</v>
      </c>
      <c r="C65" t="s">
        <v>262</v>
      </c>
      <c r="D65">
        <v>315021</v>
      </c>
      <c r="E65">
        <v>315021</v>
      </c>
      <c r="F65">
        <v>313014</v>
      </c>
      <c r="G65" t="s">
        <v>228</v>
      </c>
      <c r="H65" t="s">
        <v>53</v>
      </c>
      <c r="J65" t="s">
        <v>395</v>
      </c>
      <c r="K65" t="s">
        <v>329</v>
      </c>
      <c r="L65" t="s">
        <v>249</v>
      </c>
      <c r="M65" t="s">
        <v>263</v>
      </c>
      <c r="N65" t="s">
        <v>254</v>
      </c>
      <c r="O65" t="s">
        <v>345</v>
      </c>
    </row>
    <row r="66" spans="2:15" x14ac:dyDescent="0.25">
      <c r="B66">
        <v>315022</v>
      </c>
      <c r="C66" t="s">
        <v>264</v>
      </c>
      <c r="D66">
        <v>315022</v>
      </c>
      <c r="E66">
        <v>315022</v>
      </c>
      <c r="F66">
        <v>315009</v>
      </c>
      <c r="G66" t="s">
        <v>242</v>
      </c>
      <c r="H66" t="s">
        <v>53</v>
      </c>
      <c r="J66" t="s">
        <v>396</v>
      </c>
      <c r="K66" t="s">
        <v>319</v>
      </c>
      <c r="L66" t="s">
        <v>249</v>
      </c>
      <c r="M66" t="s">
        <v>158</v>
      </c>
      <c r="N66" t="s">
        <v>244</v>
      </c>
      <c r="O66" t="s">
        <v>385</v>
      </c>
    </row>
    <row r="67" spans="2:15" x14ac:dyDescent="0.25">
      <c r="B67">
        <v>315023</v>
      </c>
      <c r="C67" t="s">
        <v>265</v>
      </c>
      <c r="D67">
        <v>315023</v>
      </c>
      <c r="E67">
        <v>315023</v>
      </c>
      <c r="F67">
        <v>315009</v>
      </c>
      <c r="G67" t="s">
        <v>242</v>
      </c>
      <c r="H67" t="s">
        <v>53</v>
      </c>
      <c r="J67" t="s">
        <v>397</v>
      </c>
      <c r="K67" t="s">
        <v>319</v>
      </c>
      <c r="L67" t="s">
        <v>249</v>
      </c>
      <c r="M67" t="s">
        <v>266</v>
      </c>
      <c r="N67" t="s">
        <v>244</v>
      </c>
      <c r="O67" t="s">
        <v>385</v>
      </c>
    </row>
    <row r="68" spans="2:15" x14ac:dyDescent="0.25">
      <c r="B68">
        <v>207008</v>
      </c>
      <c r="C68" t="s">
        <v>267</v>
      </c>
      <c r="D68">
        <v>207008</v>
      </c>
      <c r="E68">
        <v>207008</v>
      </c>
      <c r="F68">
        <v>314001</v>
      </c>
      <c r="G68" t="s">
        <v>121</v>
      </c>
      <c r="H68" t="s">
        <v>53</v>
      </c>
      <c r="J68" t="s">
        <v>398</v>
      </c>
      <c r="K68" t="s">
        <v>324</v>
      </c>
      <c r="L68" t="s">
        <v>125</v>
      </c>
      <c r="M68" t="s">
        <v>268</v>
      </c>
      <c r="N68" t="s">
        <v>269</v>
      </c>
      <c r="O68" t="s">
        <v>326</v>
      </c>
    </row>
    <row r="69" spans="2:15" x14ac:dyDescent="0.25">
      <c r="B69">
        <v>417007</v>
      </c>
      <c r="C69" t="s">
        <v>270</v>
      </c>
      <c r="D69">
        <v>417007</v>
      </c>
      <c r="E69">
        <v>417007</v>
      </c>
      <c r="F69" t="s">
        <v>245</v>
      </c>
      <c r="G69" t="s">
        <v>246</v>
      </c>
      <c r="H69" t="s">
        <v>53</v>
      </c>
      <c r="J69" t="s">
        <v>399</v>
      </c>
      <c r="K69" t="s">
        <v>329</v>
      </c>
      <c r="L69" t="s">
        <v>249</v>
      </c>
      <c r="M69" t="s">
        <v>271</v>
      </c>
      <c r="N69" t="s">
        <v>250</v>
      </c>
      <c r="O69" t="s">
        <v>345</v>
      </c>
    </row>
    <row r="70" spans="2:15" x14ac:dyDescent="0.25">
      <c r="B70">
        <v>314093</v>
      </c>
      <c r="C70" t="s">
        <v>272</v>
      </c>
      <c r="D70">
        <v>314093</v>
      </c>
      <c r="E70">
        <v>314093</v>
      </c>
      <c r="F70">
        <v>314039</v>
      </c>
      <c r="G70" t="s">
        <v>145</v>
      </c>
      <c r="H70" t="s">
        <v>53</v>
      </c>
      <c r="J70" t="s">
        <v>400</v>
      </c>
      <c r="K70" t="s">
        <v>338</v>
      </c>
      <c r="L70" t="s">
        <v>169</v>
      </c>
      <c r="M70" t="s">
        <v>273</v>
      </c>
      <c r="N70" t="s">
        <v>147</v>
      </c>
      <c r="O70" t="s">
        <v>326</v>
      </c>
    </row>
    <row r="71" spans="2:15" x14ac:dyDescent="0.25">
      <c r="B71" t="s">
        <v>274</v>
      </c>
      <c r="C71" t="s">
        <v>275</v>
      </c>
      <c r="D71" t="s">
        <v>274</v>
      </c>
      <c r="E71" t="s">
        <v>274</v>
      </c>
      <c r="F71">
        <v>313001</v>
      </c>
      <c r="G71" t="s">
        <v>118</v>
      </c>
      <c r="H71" t="s">
        <v>50</v>
      </c>
      <c r="J71" t="s">
        <v>401</v>
      </c>
      <c r="K71" t="s">
        <v>319</v>
      </c>
      <c r="L71" t="s">
        <v>125</v>
      </c>
      <c r="M71" t="s">
        <v>122</v>
      </c>
      <c r="N71" t="s">
        <v>50</v>
      </c>
      <c r="O71" t="s">
        <v>323</v>
      </c>
    </row>
    <row r="72" spans="2:15" x14ac:dyDescent="0.25">
      <c r="B72">
        <v>314125</v>
      </c>
      <c r="C72" t="s">
        <v>276</v>
      </c>
      <c r="D72">
        <v>314125</v>
      </c>
      <c r="E72">
        <v>314125</v>
      </c>
      <c r="F72">
        <v>314006</v>
      </c>
      <c r="G72" t="s">
        <v>133</v>
      </c>
      <c r="H72" t="s">
        <v>53</v>
      </c>
      <c r="J72" t="s">
        <v>402</v>
      </c>
      <c r="K72" t="s">
        <v>331</v>
      </c>
      <c r="L72" t="s">
        <v>169</v>
      </c>
      <c r="M72" t="s">
        <v>277</v>
      </c>
      <c r="N72" t="s">
        <v>135</v>
      </c>
      <c r="O72" t="s">
        <v>326</v>
      </c>
    </row>
    <row r="73" spans="2:15" x14ac:dyDescent="0.25">
      <c r="B73">
        <v>315025</v>
      </c>
      <c r="C73" t="s">
        <v>278</v>
      </c>
      <c r="D73">
        <v>315025</v>
      </c>
      <c r="E73">
        <v>315025</v>
      </c>
      <c r="F73">
        <v>313016</v>
      </c>
      <c r="G73" t="s">
        <v>167</v>
      </c>
      <c r="H73" t="s">
        <v>53</v>
      </c>
      <c r="J73" t="s">
        <v>403</v>
      </c>
      <c r="K73" t="s">
        <v>329</v>
      </c>
      <c r="L73" t="s">
        <v>227</v>
      </c>
      <c r="M73" t="s">
        <v>279</v>
      </c>
      <c r="N73" t="s">
        <v>166</v>
      </c>
      <c r="O73" t="s">
        <v>345</v>
      </c>
    </row>
    <row r="74" spans="2:15" x14ac:dyDescent="0.25">
      <c r="B74">
        <v>314122</v>
      </c>
      <c r="C74" t="s">
        <v>280</v>
      </c>
      <c r="D74">
        <v>314122</v>
      </c>
      <c r="E74">
        <v>314122</v>
      </c>
      <c r="F74">
        <v>314006</v>
      </c>
      <c r="G74" t="s">
        <v>133</v>
      </c>
      <c r="H74" t="s">
        <v>53</v>
      </c>
      <c r="J74" t="s">
        <v>404</v>
      </c>
      <c r="K74" t="s">
        <v>324</v>
      </c>
      <c r="L74" t="s">
        <v>169</v>
      </c>
      <c r="M74" t="s">
        <v>281</v>
      </c>
      <c r="N74" t="s">
        <v>135</v>
      </c>
      <c r="O74" t="s">
        <v>326</v>
      </c>
    </row>
    <row r="75" spans="2:15" x14ac:dyDescent="0.25">
      <c r="B75">
        <v>315026</v>
      </c>
      <c r="C75" t="s">
        <v>282</v>
      </c>
      <c r="D75">
        <v>315026</v>
      </c>
      <c r="E75">
        <v>315026</v>
      </c>
      <c r="F75">
        <v>313016</v>
      </c>
      <c r="G75" t="s">
        <v>167</v>
      </c>
      <c r="H75" t="s">
        <v>53</v>
      </c>
      <c r="J75" t="s">
        <v>405</v>
      </c>
      <c r="K75" t="s">
        <v>329</v>
      </c>
      <c r="L75" t="s">
        <v>227</v>
      </c>
      <c r="M75" t="s">
        <v>283</v>
      </c>
      <c r="N75" t="s">
        <v>166</v>
      </c>
      <c r="O75" t="s">
        <v>345</v>
      </c>
    </row>
    <row r="76" spans="2:15" x14ac:dyDescent="0.25">
      <c r="B76">
        <v>315027</v>
      </c>
      <c r="C76" t="s">
        <v>284</v>
      </c>
      <c r="D76">
        <v>315027</v>
      </c>
      <c r="E76">
        <v>315027</v>
      </c>
      <c r="F76">
        <v>313016</v>
      </c>
      <c r="G76" t="s">
        <v>167</v>
      </c>
      <c r="H76" t="s">
        <v>53</v>
      </c>
      <c r="J76" t="s">
        <v>406</v>
      </c>
      <c r="K76" t="s">
        <v>329</v>
      </c>
      <c r="L76" t="s">
        <v>227</v>
      </c>
      <c r="M76" t="s">
        <v>285</v>
      </c>
      <c r="N76" t="s">
        <v>166</v>
      </c>
      <c r="O76" t="s">
        <v>345</v>
      </c>
    </row>
    <row r="77" spans="2:15" x14ac:dyDescent="0.25">
      <c r="B77">
        <v>314053</v>
      </c>
      <c r="C77" t="s">
        <v>286</v>
      </c>
      <c r="D77">
        <v>314053</v>
      </c>
      <c r="E77">
        <v>314053</v>
      </c>
      <c r="F77">
        <v>314004</v>
      </c>
      <c r="G77" t="s">
        <v>130</v>
      </c>
      <c r="H77" t="s">
        <v>53</v>
      </c>
      <c r="J77" t="s">
        <v>407</v>
      </c>
      <c r="K77" t="s">
        <v>329</v>
      </c>
      <c r="L77" t="s">
        <v>169</v>
      </c>
      <c r="M77" t="s">
        <v>287</v>
      </c>
      <c r="N77" t="s">
        <v>132</v>
      </c>
      <c r="O77" t="s">
        <v>326</v>
      </c>
    </row>
    <row r="78" spans="2:15" x14ac:dyDescent="0.25">
      <c r="B78">
        <v>314110</v>
      </c>
      <c r="C78" t="s">
        <v>288</v>
      </c>
      <c r="D78">
        <v>314110</v>
      </c>
      <c r="E78">
        <v>314110</v>
      </c>
      <c r="F78">
        <v>314004</v>
      </c>
      <c r="G78" t="s">
        <v>130</v>
      </c>
      <c r="H78" t="s">
        <v>53</v>
      </c>
      <c r="J78" t="s">
        <v>408</v>
      </c>
      <c r="K78" t="s">
        <v>329</v>
      </c>
      <c r="L78" t="s">
        <v>169</v>
      </c>
      <c r="M78" t="s">
        <v>289</v>
      </c>
      <c r="N78" t="s">
        <v>132</v>
      </c>
      <c r="O78" t="s">
        <v>326</v>
      </c>
    </row>
    <row r="79" spans="2:15" x14ac:dyDescent="0.25">
      <c r="B79" t="s">
        <v>290</v>
      </c>
      <c r="C79" t="s">
        <v>291</v>
      </c>
      <c r="D79" t="s">
        <v>290</v>
      </c>
      <c r="E79" t="s">
        <v>290</v>
      </c>
      <c r="F79">
        <v>313016</v>
      </c>
      <c r="G79" t="s">
        <v>167</v>
      </c>
      <c r="H79" t="s">
        <v>53</v>
      </c>
      <c r="J79" t="s">
        <v>409</v>
      </c>
      <c r="K79" t="s">
        <v>329</v>
      </c>
      <c r="L79" t="s">
        <v>227</v>
      </c>
      <c r="M79" t="s">
        <v>235</v>
      </c>
      <c r="N79" t="s">
        <v>166</v>
      </c>
      <c r="O79" t="s">
        <v>345</v>
      </c>
    </row>
    <row r="80" spans="2:15" x14ac:dyDescent="0.25">
      <c r="B80" t="s">
        <v>292</v>
      </c>
      <c r="C80" t="s">
        <v>293</v>
      </c>
      <c r="D80" t="s">
        <v>292</v>
      </c>
      <c r="E80" t="s">
        <v>292</v>
      </c>
      <c r="F80">
        <v>314006</v>
      </c>
      <c r="G80" t="s">
        <v>133</v>
      </c>
      <c r="H80" t="s">
        <v>53</v>
      </c>
      <c r="J80" t="s">
        <v>382</v>
      </c>
      <c r="K80" t="s">
        <v>331</v>
      </c>
      <c r="L80" t="s">
        <v>169</v>
      </c>
      <c r="M80" t="s">
        <v>237</v>
      </c>
      <c r="N80" t="s">
        <v>135</v>
      </c>
      <c r="O80" t="s">
        <v>326</v>
      </c>
    </row>
    <row r="81" spans="2:15" x14ac:dyDescent="0.25">
      <c r="B81" t="s">
        <v>294</v>
      </c>
      <c r="C81" t="s">
        <v>295</v>
      </c>
      <c r="D81" t="s">
        <v>294</v>
      </c>
      <c r="E81" t="s">
        <v>294</v>
      </c>
      <c r="F81">
        <v>314004</v>
      </c>
      <c r="G81" t="s">
        <v>130</v>
      </c>
      <c r="H81" t="s">
        <v>53</v>
      </c>
      <c r="J81" t="s">
        <v>410</v>
      </c>
      <c r="K81" t="s">
        <v>329</v>
      </c>
      <c r="L81" t="s">
        <v>169</v>
      </c>
      <c r="M81" t="s">
        <v>124</v>
      </c>
      <c r="N81" t="s">
        <v>132</v>
      </c>
      <c r="O81" t="s">
        <v>326</v>
      </c>
    </row>
    <row r="82" spans="2:15" x14ac:dyDescent="0.25">
      <c r="B82" t="s">
        <v>296</v>
      </c>
      <c r="C82" t="s">
        <v>297</v>
      </c>
      <c r="D82" t="s">
        <v>296</v>
      </c>
      <c r="E82" t="s">
        <v>296</v>
      </c>
      <c r="F82">
        <v>314008</v>
      </c>
      <c r="G82" t="s">
        <v>139</v>
      </c>
      <c r="H82" t="s">
        <v>53</v>
      </c>
      <c r="J82" t="s">
        <v>411</v>
      </c>
      <c r="K82" t="s">
        <v>335</v>
      </c>
      <c r="L82" t="s">
        <v>169</v>
      </c>
      <c r="M82" t="s">
        <v>140</v>
      </c>
      <c r="N82" t="s">
        <v>141</v>
      </c>
      <c r="O82" t="s">
        <v>326</v>
      </c>
    </row>
    <row r="83" spans="2:15" x14ac:dyDescent="0.25">
      <c r="B83" t="s">
        <v>298</v>
      </c>
      <c r="C83" t="s">
        <v>299</v>
      </c>
      <c r="D83" t="s">
        <v>298</v>
      </c>
      <c r="E83" t="s">
        <v>298</v>
      </c>
      <c r="F83">
        <v>314004</v>
      </c>
      <c r="G83" t="s">
        <v>130</v>
      </c>
      <c r="H83" t="s">
        <v>53</v>
      </c>
      <c r="J83" t="s">
        <v>412</v>
      </c>
      <c r="K83" t="s">
        <v>329</v>
      </c>
      <c r="L83" t="s">
        <v>169</v>
      </c>
      <c r="M83" t="s">
        <v>268</v>
      </c>
      <c r="N83" t="s">
        <v>132</v>
      </c>
      <c r="O83" t="s">
        <v>326</v>
      </c>
    </row>
    <row r="84" spans="2:15" x14ac:dyDescent="0.25">
      <c r="B84" t="s">
        <v>300</v>
      </c>
      <c r="C84" t="s">
        <v>301</v>
      </c>
      <c r="D84" t="s">
        <v>300</v>
      </c>
      <c r="E84" t="s">
        <v>300</v>
      </c>
      <c r="F84">
        <v>314004</v>
      </c>
      <c r="G84" t="s">
        <v>130</v>
      </c>
      <c r="H84" t="s">
        <v>53</v>
      </c>
      <c r="J84" t="s">
        <v>413</v>
      </c>
      <c r="K84" t="s">
        <v>329</v>
      </c>
      <c r="L84" t="s">
        <v>169</v>
      </c>
      <c r="M84" t="s">
        <v>158</v>
      </c>
      <c r="N84" t="s">
        <v>132</v>
      </c>
      <c r="O84" t="s">
        <v>326</v>
      </c>
    </row>
    <row r="85" spans="2:15" x14ac:dyDescent="0.25">
      <c r="B85" t="s">
        <v>302</v>
      </c>
      <c r="C85" t="s">
        <v>303</v>
      </c>
      <c r="D85" t="s">
        <v>302</v>
      </c>
      <c r="E85" t="s">
        <v>302</v>
      </c>
      <c r="F85">
        <v>314004</v>
      </c>
      <c r="G85" t="s">
        <v>130</v>
      </c>
      <c r="H85" t="s">
        <v>53</v>
      </c>
      <c r="J85" t="s">
        <v>414</v>
      </c>
      <c r="K85" t="s">
        <v>329</v>
      </c>
      <c r="L85" t="s">
        <v>169</v>
      </c>
      <c r="M85" t="s">
        <v>155</v>
      </c>
      <c r="N85" t="s">
        <v>132</v>
      </c>
      <c r="O85" t="s">
        <v>326</v>
      </c>
    </row>
    <row r="86" spans="2:15" x14ac:dyDescent="0.25">
      <c r="B86" t="s">
        <v>304</v>
      </c>
      <c r="C86" t="s">
        <v>305</v>
      </c>
      <c r="D86" t="s">
        <v>304</v>
      </c>
      <c r="E86" t="s">
        <v>304</v>
      </c>
      <c r="F86">
        <v>314004</v>
      </c>
      <c r="G86" t="s">
        <v>130</v>
      </c>
      <c r="H86" t="s">
        <v>53</v>
      </c>
      <c r="J86" t="s">
        <v>415</v>
      </c>
      <c r="K86" t="s">
        <v>329</v>
      </c>
      <c r="L86" t="s">
        <v>169</v>
      </c>
      <c r="M86" t="s">
        <v>161</v>
      </c>
      <c r="N86" t="s">
        <v>132</v>
      </c>
      <c r="O86" t="s">
        <v>326</v>
      </c>
    </row>
    <row r="87" spans="2:15" x14ac:dyDescent="0.25">
      <c r="B87">
        <v>416042</v>
      </c>
      <c r="C87" t="s">
        <v>306</v>
      </c>
      <c r="D87">
        <v>416042</v>
      </c>
      <c r="E87">
        <v>416042</v>
      </c>
      <c r="F87">
        <v>314004</v>
      </c>
      <c r="G87" t="s">
        <v>130</v>
      </c>
      <c r="H87" t="s">
        <v>53</v>
      </c>
      <c r="J87" t="s">
        <v>416</v>
      </c>
      <c r="L87" t="s">
        <v>169</v>
      </c>
      <c r="M87" t="s">
        <v>307</v>
      </c>
      <c r="N87" t="s">
        <v>132</v>
      </c>
    </row>
    <row r="88" spans="2:15" x14ac:dyDescent="0.25">
      <c r="B88">
        <v>314126</v>
      </c>
      <c r="C88" t="s">
        <v>308</v>
      </c>
      <c r="D88">
        <v>314126</v>
      </c>
      <c r="E88">
        <v>314126</v>
      </c>
      <c r="F88">
        <v>314008</v>
      </c>
      <c r="G88" t="s">
        <v>139</v>
      </c>
      <c r="H88" t="s">
        <v>53</v>
      </c>
      <c r="J88" t="s">
        <v>417</v>
      </c>
      <c r="L88" t="s">
        <v>169</v>
      </c>
      <c r="M88" t="s">
        <v>177</v>
      </c>
      <c r="N88" t="s">
        <v>141</v>
      </c>
    </row>
    <row r="89" spans="2:15" x14ac:dyDescent="0.25">
      <c r="B89">
        <v>314059</v>
      </c>
      <c r="C89" t="s">
        <v>163</v>
      </c>
      <c r="D89">
        <v>314059</v>
      </c>
      <c r="E89">
        <v>314059</v>
      </c>
      <c r="F89">
        <v>313001</v>
      </c>
      <c r="G89" t="s">
        <v>118</v>
      </c>
      <c r="H89" t="s">
        <v>50</v>
      </c>
      <c r="J89" t="s">
        <v>418</v>
      </c>
      <c r="L89" t="s">
        <v>125</v>
      </c>
      <c r="M89" t="s">
        <v>309</v>
      </c>
      <c r="N89" t="s">
        <v>162</v>
      </c>
    </row>
  </sheetData>
  <phoneticPr fontId="2" type="noConversion"/>
  <hyperlinks>
    <hyperlink ref="J3" r:id="rId1" display="mailto:opor6655@gmail.com" xr:uid="{CE61296E-890C-4D58-A964-05E6AEA0C426}"/>
    <hyperlink ref="J18" r:id="rId2" display="mailto:opor6655@gmail.com" xr:uid="{B34B9CA1-3682-41C0-82C0-60F9FEB3717D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7997-4365-4079-ABD4-520CB10332CC}">
  <dimension ref="A1:Q722"/>
  <sheetViews>
    <sheetView topLeftCell="A146" workbookViewId="0">
      <selection activeCell="N2" sqref="N2:Q180"/>
    </sheetView>
  </sheetViews>
  <sheetFormatPr defaultRowHeight="15" x14ac:dyDescent="0.25"/>
  <cols>
    <col min="1" max="1" width="25.7109375" customWidth="1"/>
    <col min="2" max="2" width="31.85546875" bestFit="1" customWidth="1"/>
    <col min="3" max="4" width="25.7109375" customWidth="1"/>
    <col min="17" max="17" width="22.85546875" bestFit="1" customWidth="1"/>
  </cols>
  <sheetData>
    <row r="1" spans="1:17" ht="15.75" thickBot="1" x14ac:dyDescent="0.3">
      <c r="A1" t="s">
        <v>1184</v>
      </c>
      <c r="J1" t="s">
        <v>1185</v>
      </c>
    </row>
    <row r="2" spans="1:17" ht="15.75" thickBot="1" x14ac:dyDescent="0.3">
      <c r="A2" t="s">
        <v>426</v>
      </c>
      <c r="B2" t="s">
        <v>11</v>
      </c>
      <c r="C2" t="s">
        <v>427</v>
      </c>
      <c r="D2" t="s">
        <v>428</v>
      </c>
      <c r="J2" s="1" t="s">
        <v>426</v>
      </c>
      <c r="O2" s="1" t="s">
        <v>426</v>
      </c>
      <c r="P2" s="1" t="s">
        <v>11</v>
      </c>
      <c r="Q2" s="1" t="s">
        <v>428</v>
      </c>
    </row>
    <row r="3" spans="1:17" x14ac:dyDescent="0.25">
      <c r="A3" t="s">
        <v>429</v>
      </c>
      <c r="B3" t="s">
        <v>430</v>
      </c>
      <c r="C3" t="s">
        <v>431</v>
      </c>
      <c r="D3" t="s">
        <v>123</v>
      </c>
      <c r="J3" s="2" t="s">
        <v>429</v>
      </c>
      <c r="N3">
        <f>VLOOKUP(O3,DB_PRODUCT!$D$2:$E$52,2,FALSE)</f>
        <v>1</v>
      </c>
      <c r="O3" t="s">
        <v>429</v>
      </c>
      <c r="P3" t="s">
        <v>430</v>
      </c>
      <c r="Q3" t="s">
        <v>123</v>
      </c>
    </row>
    <row r="4" spans="1:17" x14ac:dyDescent="0.25">
      <c r="A4" t="s">
        <v>429</v>
      </c>
      <c r="B4" t="s">
        <v>432</v>
      </c>
      <c r="C4" t="s">
        <v>433</v>
      </c>
      <c r="D4" t="s">
        <v>123</v>
      </c>
      <c r="J4" s="2" t="s">
        <v>454</v>
      </c>
      <c r="N4">
        <f>VLOOKUP(O4,DB_PRODUCT!$D$2:$E$52,2,FALSE)</f>
        <v>1</v>
      </c>
      <c r="O4" t="s">
        <v>429</v>
      </c>
      <c r="P4" t="s">
        <v>432</v>
      </c>
      <c r="Q4" t="s">
        <v>123</v>
      </c>
    </row>
    <row r="5" spans="1:17" x14ac:dyDescent="0.25">
      <c r="A5" t="s">
        <v>429</v>
      </c>
      <c r="B5" t="s">
        <v>432</v>
      </c>
      <c r="C5" t="s">
        <v>434</v>
      </c>
      <c r="D5" t="s">
        <v>123</v>
      </c>
      <c r="J5" s="2" t="s">
        <v>887</v>
      </c>
      <c r="N5">
        <f>VLOOKUP(O5,DB_PRODUCT!$D$2:$E$52,2,FALSE)</f>
        <v>1</v>
      </c>
      <c r="O5" t="s">
        <v>429</v>
      </c>
      <c r="P5" t="s">
        <v>436</v>
      </c>
      <c r="Q5" t="s">
        <v>123</v>
      </c>
    </row>
    <row r="6" spans="1:17" x14ac:dyDescent="0.25">
      <c r="A6" t="s">
        <v>429</v>
      </c>
      <c r="B6" t="s">
        <v>432</v>
      </c>
      <c r="C6" t="s">
        <v>435</v>
      </c>
      <c r="D6" t="s">
        <v>123</v>
      </c>
      <c r="J6" s="3" t="s">
        <v>462</v>
      </c>
      <c r="N6">
        <f>VLOOKUP(O6,DB_PRODUCT!$D$2:$E$52,2,FALSE)</f>
        <v>1</v>
      </c>
      <c r="O6" t="s">
        <v>429</v>
      </c>
      <c r="P6" t="s">
        <v>441</v>
      </c>
      <c r="Q6" t="s">
        <v>123</v>
      </c>
    </row>
    <row r="7" spans="1:17" x14ac:dyDescent="0.25">
      <c r="A7" t="s">
        <v>429</v>
      </c>
      <c r="B7" t="s">
        <v>436</v>
      </c>
      <c r="C7" t="s">
        <v>437</v>
      </c>
      <c r="D7" t="s">
        <v>123</v>
      </c>
      <c r="J7" s="2" t="s">
        <v>465</v>
      </c>
      <c r="N7">
        <f>VLOOKUP(O7,DB_PRODUCT!$D$2:$E$52,2,FALSE)</f>
        <v>1</v>
      </c>
      <c r="O7" t="s">
        <v>429</v>
      </c>
      <c r="P7" t="s">
        <v>444</v>
      </c>
      <c r="Q7" t="s">
        <v>123</v>
      </c>
    </row>
    <row r="8" spans="1:17" x14ac:dyDescent="0.25">
      <c r="A8" t="s">
        <v>429</v>
      </c>
      <c r="B8" t="s">
        <v>436</v>
      </c>
      <c r="C8" t="s">
        <v>438</v>
      </c>
      <c r="D8" t="s">
        <v>123</v>
      </c>
      <c r="J8" s="3" t="s">
        <v>662</v>
      </c>
      <c r="N8">
        <f>VLOOKUP(O8,DB_PRODUCT!$D$2:$E$52,2,FALSE)</f>
        <v>1</v>
      </c>
      <c r="O8" t="s">
        <v>429</v>
      </c>
      <c r="P8" t="s">
        <v>446</v>
      </c>
      <c r="Q8" t="s">
        <v>123</v>
      </c>
    </row>
    <row r="9" spans="1:17" x14ac:dyDescent="0.25">
      <c r="A9" t="s">
        <v>429</v>
      </c>
      <c r="B9" t="s">
        <v>436</v>
      </c>
      <c r="C9" t="s">
        <v>439</v>
      </c>
      <c r="D9" t="s">
        <v>123</v>
      </c>
      <c r="J9" s="3" t="s">
        <v>512</v>
      </c>
      <c r="N9">
        <f>VLOOKUP(O9,DB_PRODUCT!$D$2:$E$52,2,FALSE)</f>
        <v>1</v>
      </c>
      <c r="O9" t="s">
        <v>429</v>
      </c>
      <c r="P9" t="s">
        <v>448</v>
      </c>
      <c r="Q9" t="s">
        <v>123</v>
      </c>
    </row>
    <row r="10" spans="1:17" x14ac:dyDescent="0.25">
      <c r="A10" t="s">
        <v>429</v>
      </c>
      <c r="B10" t="s">
        <v>436</v>
      </c>
      <c r="C10" t="s">
        <v>440</v>
      </c>
      <c r="D10" t="s">
        <v>123</v>
      </c>
      <c r="J10" s="3" t="s">
        <v>757</v>
      </c>
      <c r="N10">
        <f>VLOOKUP(O10,DB_PRODUCT!$D$2:$E$52,2,FALSE)</f>
        <v>1</v>
      </c>
      <c r="O10" t="s">
        <v>429</v>
      </c>
      <c r="P10" t="s">
        <v>451</v>
      </c>
      <c r="Q10" t="s">
        <v>123</v>
      </c>
    </row>
    <row r="11" spans="1:17" x14ac:dyDescent="0.25">
      <c r="A11" t="s">
        <v>429</v>
      </c>
      <c r="B11" t="s">
        <v>441</v>
      </c>
      <c r="C11" t="s">
        <v>442</v>
      </c>
      <c r="D11" t="s">
        <v>123</v>
      </c>
      <c r="J11" s="2" t="s">
        <v>470</v>
      </c>
      <c r="N11">
        <f>VLOOKUP(O11,DB_PRODUCT!$D$2:$E$52,2,FALSE)</f>
        <v>1</v>
      </c>
      <c r="O11" t="s">
        <v>429</v>
      </c>
      <c r="P11" t="s">
        <v>434</v>
      </c>
      <c r="Q11" t="s">
        <v>123</v>
      </c>
    </row>
    <row r="12" spans="1:17" x14ac:dyDescent="0.25">
      <c r="A12" t="s">
        <v>429</v>
      </c>
      <c r="B12" t="s">
        <v>441</v>
      </c>
      <c r="C12" t="s">
        <v>443</v>
      </c>
      <c r="D12" t="s">
        <v>123</v>
      </c>
      <c r="J12" s="3" t="s">
        <v>479</v>
      </c>
      <c r="N12">
        <f>VLOOKUP(O12,DB_PRODUCT!$D$2:$E$52,2,FALSE)</f>
        <v>1</v>
      </c>
      <c r="O12" t="s">
        <v>429</v>
      </c>
      <c r="P12" t="s">
        <v>843</v>
      </c>
      <c r="Q12" t="s">
        <v>123</v>
      </c>
    </row>
    <row r="13" spans="1:17" x14ac:dyDescent="0.25">
      <c r="A13" t="s">
        <v>429</v>
      </c>
      <c r="B13" t="s">
        <v>444</v>
      </c>
      <c r="C13" t="s">
        <v>445</v>
      </c>
      <c r="D13" t="s">
        <v>123</v>
      </c>
      <c r="J13" s="2" t="s">
        <v>1116</v>
      </c>
      <c r="N13">
        <f>VLOOKUP(O13,DB_PRODUCT!$D$2:$E$52,2,FALSE)</f>
        <v>1</v>
      </c>
      <c r="O13" t="s">
        <v>429</v>
      </c>
      <c r="P13" t="s">
        <v>871</v>
      </c>
      <c r="Q13" t="s">
        <v>123</v>
      </c>
    </row>
    <row r="14" spans="1:17" x14ac:dyDescent="0.25">
      <c r="A14" t="s">
        <v>429</v>
      </c>
      <c r="B14" t="s">
        <v>446</v>
      </c>
      <c r="C14" t="s">
        <v>447</v>
      </c>
      <c r="D14" t="s">
        <v>123</v>
      </c>
      <c r="J14" s="3" t="s">
        <v>475</v>
      </c>
      <c r="N14">
        <f>VLOOKUP(O14,DB_PRODUCT!$D$2:$E$52,2,FALSE)</f>
        <v>1</v>
      </c>
      <c r="O14" t="s">
        <v>429</v>
      </c>
      <c r="P14" t="s">
        <v>447</v>
      </c>
      <c r="Q14" t="s">
        <v>123</v>
      </c>
    </row>
    <row r="15" spans="1:17" x14ac:dyDescent="0.25">
      <c r="A15" t="s">
        <v>429</v>
      </c>
      <c r="B15" t="s">
        <v>448</v>
      </c>
      <c r="C15" t="s">
        <v>449</v>
      </c>
      <c r="D15" t="s">
        <v>123</v>
      </c>
      <c r="J15" s="2" t="s">
        <v>487</v>
      </c>
      <c r="N15">
        <f>VLOOKUP(O15,DB_PRODUCT!$D$2:$E$52,2,FALSE)</f>
        <v>1</v>
      </c>
      <c r="O15" t="s">
        <v>429</v>
      </c>
      <c r="P15" t="s">
        <v>918</v>
      </c>
      <c r="Q15" t="s">
        <v>123</v>
      </c>
    </row>
    <row r="16" spans="1:17" x14ac:dyDescent="0.25">
      <c r="A16" t="s">
        <v>429</v>
      </c>
      <c r="B16" t="s">
        <v>448</v>
      </c>
      <c r="C16" t="s">
        <v>450</v>
      </c>
      <c r="D16" t="s">
        <v>123</v>
      </c>
      <c r="J16" s="2" t="s">
        <v>517</v>
      </c>
      <c r="N16">
        <f>VLOOKUP(O16,DB_PRODUCT!$D$2:$E$52,2,FALSE)</f>
        <v>1</v>
      </c>
      <c r="O16" t="s">
        <v>429</v>
      </c>
      <c r="P16" t="s">
        <v>442</v>
      </c>
      <c r="Q16" t="s">
        <v>123</v>
      </c>
    </row>
    <row r="17" spans="1:17" x14ac:dyDescent="0.25">
      <c r="A17" t="s">
        <v>429</v>
      </c>
      <c r="B17" t="s">
        <v>451</v>
      </c>
      <c r="C17" t="s">
        <v>452</v>
      </c>
      <c r="D17" t="s">
        <v>123</v>
      </c>
      <c r="J17" s="2" t="s">
        <v>520</v>
      </c>
      <c r="N17">
        <f>VLOOKUP(O17,DB_PRODUCT!$D$2:$E$52,2,FALSE)</f>
        <v>1</v>
      </c>
      <c r="O17" t="s">
        <v>429</v>
      </c>
      <c r="P17" t="s">
        <v>950</v>
      </c>
      <c r="Q17" t="s">
        <v>123</v>
      </c>
    </row>
    <row r="18" spans="1:17" x14ac:dyDescent="0.25">
      <c r="A18" t="s">
        <v>429</v>
      </c>
      <c r="B18" t="s">
        <v>451</v>
      </c>
      <c r="C18" t="s">
        <v>453</v>
      </c>
      <c r="D18" t="s">
        <v>123</v>
      </c>
      <c r="J18" s="2" t="s">
        <v>770</v>
      </c>
      <c r="N18">
        <f>VLOOKUP(O18,DB_PRODUCT!$D$2:$E$52,2,FALSE)</f>
        <v>1</v>
      </c>
      <c r="O18" t="s">
        <v>429</v>
      </c>
      <c r="P18" t="s">
        <v>951</v>
      </c>
      <c r="Q18" t="s">
        <v>123</v>
      </c>
    </row>
    <row r="19" spans="1:17" x14ac:dyDescent="0.25">
      <c r="A19" t="s">
        <v>429</v>
      </c>
      <c r="B19" t="s">
        <v>434</v>
      </c>
      <c r="C19" t="s">
        <v>820</v>
      </c>
      <c r="D19" t="s">
        <v>123</v>
      </c>
      <c r="J19" s="3" t="s">
        <v>525</v>
      </c>
      <c r="N19">
        <f>VLOOKUP(O19,DB_PRODUCT!$D$2:$E$52,2,FALSE)</f>
        <v>1</v>
      </c>
      <c r="O19" t="s">
        <v>429</v>
      </c>
      <c r="P19" t="s">
        <v>986</v>
      </c>
      <c r="Q19" t="s">
        <v>123</v>
      </c>
    </row>
    <row r="20" spans="1:17" x14ac:dyDescent="0.25">
      <c r="A20" t="s">
        <v>429</v>
      </c>
      <c r="B20" t="s">
        <v>843</v>
      </c>
      <c r="C20" t="s">
        <v>447</v>
      </c>
      <c r="D20" t="s">
        <v>123</v>
      </c>
      <c r="J20" s="3" t="s">
        <v>924</v>
      </c>
      <c r="N20">
        <f>VLOOKUP(O20,DB_PRODUCT!$D$2:$E$52,2,FALSE)</f>
        <v>1</v>
      </c>
      <c r="O20" t="s">
        <v>429</v>
      </c>
      <c r="P20" t="s">
        <v>438</v>
      </c>
      <c r="Q20" t="s">
        <v>123</v>
      </c>
    </row>
    <row r="21" spans="1:17" x14ac:dyDescent="0.25">
      <c r="A21" t="s">
        <v>429</v>
      </c>
      <c r="B21" t="s">
        <v>871</v>
      </c>
      <c r="C21" t="s">
        <v>447</v>
      </c>
      <c r="D21" t="s">
        <v>123</v>
      </c>
      <c r="J21" s="2" t="s">
        <v>534</v>
      </c>
      <c r="N21">
        <f>VLOOKUP(O21,DB_PRODUCT!$D$2:$E$52,2,FALSE)</f>
        <v>1</v>
      </c>
      <c r="O21" t="s">
        <v>429</v>
      </c>
      <c r="P21" t="s">
        <v>431</v>
      </c>
      <c r="Q21" t="s">
        <v>123</v>
      </c>
    </row>
    <row r="22" spans="1:17" x14ac:dyDescent="0.25">
      <c r="A22" t="s">
        <v>429</v>
      </c>
      <c r="B22" t="s">
        <v>434</v>
      </c>
      <c r="C22" t="s">
        <v>434</v>
      </c>
      <c r="D22" t="s">
        <v>123</v>
      </c>
      <c r="J22" s="3" t="s">
        <v>543</v>
      </c>
      <c r="N22">
        <f>VLOOKUP(O22,DB_PRODUCT!$D$2:$E$52,2,FALSE)</f>
        <v>1</v>
      </c>
      <c r="O22" t="s">
        <v>429</v>
      </c>
      <c r="P22" t="s">
        <v>1022</v>
      </c>
      <c r="Q22" t="s">
        <v>123</v>
      </c>
    </row>
    <row r="23" spans="1:17" x14ac:dyDescent="0.25">
      <c r="A23" t="s">
        <v>429</v>
      </c>
      <c r="B23" t="s">
        <v>447</v>
      </c>
      <c r="C23" t="s">
        <v>447</v>
      </c>
      <c r="D23" t="s">
        <v>123</v>
      </c>
      <c r="J23" s="2" t="s">
        <v>546</v>
      </c>
      <c r="N23">
        <f>VLOOKUP(O23,DB_PRODUCT!$D$2:$E$52,2,FALSE)</f>
        <v>1</v>
      </c>
      <c r="O23" t="s">
        <v>429</v>
      </c>
      <c r="P23" t="s">
        <v>429</v>
      </c>
      <c r="Q23" t="s">
        <v>123</v>
      </c>
    </row>
    <row r="24" spans="1:17" x14ac:dyDescent="0.25">
      <c r="A24" t="s">
        <v>429</v>
      </c>
      <c r="B24" t="s">
        <v>436</v>
      </c>
      <c r="C24" t="s">
        <v>443</v>
      </c>
      <c r="D24" t="s">
        <v>123</v>
      </c>
      <c r="J24" s="3" t="s">
        <v>549</v>
      </c>
      <c r="N24">
        <f>VLOOKUP(O24,DB_PRODUCT!$D$2:$E$52,2,FALSE)</f>
        <v>1</v>
      </c>
      <c r="O24" t="s">
        <v>429</v>
      </c>
      <c r="P24" t="s">
        <v>1038</v>
      </c>
      <c r="Q24" t="s">
        <v>123</v>
      </c>
    </row>
    <row r="25" spans="1:17" x14ac:dyDescent="0.25">
      <c r="A25" t="s">
        <v>429</v>
      </c>
      <c r="B25" t="s">
        <v>432</v>
      </c>
      <c r="C25" t="s">
        <v>902</v>
      </c>
      <c r="D25" t="s">
        <v>123</v>
      </c>
      <c r="J25" s="2" t="s">
        <v>552</v>
      </c>
      <c r="N25">
        <f>VLOOKUP(O25,DB_PRODUCT!$D$2:$E$52,2,FALSE)</f>
        <v>1</v>
      </c>
      <c r="O25" t="s">
        <v>429</v>
      </c>
      <c r="P25" t="s">
        <v>433</v>
      </c>
      <c r="Q25" t="s">
        <v>123</v>
      </c>
    </row>
    <row r="26" spans="1:17" x14ac:dyDescent="0.25">
      <c r="A26" t="s">
        <v>429</v>
      </c>
      <c r="B26" t="s">
        <v>918</v>
      </c>
      <c r="C26" t="s">
        <v>919</v>
      </c>
      <c r="D26" t="s">
        <v>123</v>
      </c>
      <c r="J26" s="2" t="s">
        <v>494</v>
      </c>
      <c r="N26">
        <f>VLOOKUP(O26,DB_PRODUCT!$D$2:$E$52,2,FALSE)</f>
        <v>1</v>
      </c>
      <c r="O26" t="s">
        <v>429</v>
      </c>
      <c r="P26" t="s">
        <v>437</v>
      </c>
      <c r="Q26" t="s">
        <v>123</v>
      </c>
    </row>
    <row r="27" spans="1:17" x14ac:dyDescent="0.25">
      <c r="A27" t="s">
        <v>429</v>
      </c>
      <c r="B27" t="s">
        <v>442</v>
      </c>
      <c r="C27" t="s">
        <v>442</v>
      </c>
      <c r="D27" t="s">
        <v>123</v>
      </c>
      <c r="J27" s="3" t="s">
        <v>560</v>
      </c>
      <c r="N27">
        <f>VLOOKUP(O27,DB_PRODUCT!$D$2:$E$52,2,FALSE)</f>
        <v>1</v>
      </c>
      <c r="O27" t="s">
        <v>429</v>
      </c>
      <c r="P27" t="s">
        <v>1083</v>
      </c>
      <c r="Q27" t="s">
        <v>123</v>
      </c>
    </row>
    <row r="28" spans="1:17" x14ac:dyDescent="0.25">
      <c r="A28" t="s">
        <v>429</v>
      </c>
      <c r="B28" t="s">
        <v>950</v>
      </c>
      <c r="C28" t="s">
        <v>447</v>
      </c>
      <c r="D28" t="s">
        <v>123</v>
      </c>
      <c r="J28" s="3" t="s">
        <v>683</v>
      </c>
      <c r="N28">
        <f>VLOOKUP(O28,DB_PRODUCT!$D$2:$E$52,2,FALSE)</f>
        <v>1</v>
      </c>
      <c r="O28" t="s">
        <v>429</v>
      </c>
      <c r="P28" t="s">
        <v>1092</v>
      </c>
      <c r="Q28" t="s">
        <v>123</v>
      </c>
    </row>
    <row r="29" spans="1:17" x14ac:dyDescent="0.25">
      <c r="A29" t="s">
        <v>429</v>
      </c>
      <c r="B29" t="s">
        <v>951</v>
      </c>
      <c r="C29" t="s">
        <v>535</v>
      </c>
      <c r="D29" t="s">
        <v>123</v>
      </c>
      <c r="J29" s="2" t="s">
        <v>504</v>
      </c>
      <c r="N29">
        <f>VLOOKUP(O29,DB_PRODUCT!$D$2:$E$52,2,FALSE)</f>
        <v>1</v>
      </c>
      <c r="O29" t="s">
        <v>429</v>
      </c>
      <c r="P29" t="s">
        <v>1105</v>
      </c>
      <c r="Q29" t="s">
        <v>123</v>
      </c>
    </row>
    <row r="30" spans="1:17" x14ac:dyDescent="0.25">
      <c r="A30" t="s">
        <v>429</v>
      </c>
      <c r="B30" t="s">
        <v>434</v>
      </c>
      <c r="C30" t="s">
        <v>984</v>
      </c>
      <c r="D30" t="s">
        <v>123</v>
      </c>
      <c r="J30" s="3" t="s">
        <v>680</v>
      </c>
      <c r="N30">
        <f>VLOOKUP(O30,DB_PRODUCT!$D$2:$E$52,2,FALSE)</f>
        <v>1</v>
      </c>
      <c r="O30" t="s">
        <v>429</v>
      </c>
      <c r="P30" t="s">
        <v>453</v>
      </c>
      <c r="Q30" t="s">
        <v>123</v>
      </c>
    </row>
    <row r="31" spans="1:17" x14ac:dyDescent="0.25">
      <c r="A31" t="s">
        <v>429</v>
      </c>
      <c r="B31" t="s">
        <v>986</v>
      </c>
      <c r="C31" t="s">
        <v>986</v>
      </c>
      <c r="D31" t="s">
        <v>123</v>
      </c>
      <c r="J31" s="2" t="s">
        <v>690</v>
      </c>
      <c r="N31">
        <f>VLOOKUP(O31,DB_PRODUCT!$D$2:$E$52,2,FALSE)</f>
        <v>1</v>
      </c>
      <c r="O31" t="s">
        <v>429</v>
      </c>
      <c r="P31" t="s">
        <v>1134</v>
      </c>
      <c r="Q31" t="s">
        <v>123</v>
      </c>
    </row>
    <row r="32" spans="1:17" x14ac:dyDescent="0.25">
      <c r="A32" t="s">
        <v>429</v>
      </c>
      <c r="B32" t="s">
        <v>438</v>
      </c>
      <c r="C32" t="s">
        <v>1014</v>
      </c>
      <c r="D32" t="s">
        <v>123</v>
      </c>
      <c r="J32" s="2" t="s">
        <v>497</v>
      </c>
      <c r="N32">
        <f>VLOOKUP(O32,DB_PRODUCT!$D$2:$E$52,2,FALSE)</f>
        <v>2</v>
      </c>
      <c r="O32" t="s">
        <v>454</v>
      </c>
      <c r="P32" t="s">
        <v>455</v>
      </c>
      <c r="Q32" t="s">
        <v>123</v>
      </c>
    </row>
    <row r="33" spans="1:17" x14ac:dyDescent="0.25">
      <c r="A33" t="s">
        <v>429</v>
      </c>
      <c r="B33" t="s">
        <v>431</v>
      </c>
      <c r="C33" t="s">
        <v>1018</v>
      </c>
      <c r="D33" t="s">
        <v>123</v>
      </c>
      <c r="J33" s="3" t="s">
        <v>698</v>
      </c>
      <c r="N33">
        <f>VLOOKUP(O33,DB_PRODUCT!$D$2:$E$52,2,FALSE)</f>
        <v>2</v>
      </c>
      <c r="O33" t="s">
        <v>454</v>
      </c>
      <c r="P33" t="s">
        <v>457</v>
      </c>
      <c r="Q33" t="s">
        <v>123</v>
      </c>
    </row>
    <row r="34" spans="1:17" x14ac:dyDescent="0.25">
      <c r="A34" t="s">
        <v>429</v>
      </c>
      <c r="B34" t="s">
        <v>1022</v>
      </c>
      <c r="C34" t="s">
        <v>431</v>
      </c>
      <c r="D34" t="s">
        <v>123</v>
      </c>
      <c r="J34" s="2" t="s">
        <v>701</v>
      </c>
      <c r="N34">
        <f>VLOOKUP(O34,DB_PRODUCT!$D$2:$E$52,2,FALSE)</f>
        <v>2</v>
      </c>
      <c r="O34" t="s">
        <v>454</v>
      </c>
      <c r="P34" t="s">
        <v>459</v>
      </c>
      <c r="Q34" t="s">
        <v>123</v>
      </c>
    </row>
    <row r="35" spans="1:17" x14ac:dyDescent="0.25">
      <c r="A35" t="s">
        <v>429</v>
      </c>
      <c r="B35" t="s">
        <v>429</v>
      </c>
      <c r="C35" t="s">
        <v>439</v>
      </c>
      <c r="D35" t="s">
        <v>123</v>
      </c>
      <c r="J35" s="2" t="s">
        <v>1060</v>
      </c>
      <c r="N35">
        <f>VLOOKUP(O35,DB_PRODUCT!$D$2:$E$52,2,FALSE)</f>
        <v>3</v>
      </c>
      <c r="O35" t="s">
        <v>887</v>
      </c>
      <c r="P35" t="s">
        <v>842</v>
      </c>
      <c r="Q35" t="s">
        <v>142</v>
      </c>
    </row>
    <row r="36" spans="1:17" x14ac:dyDescent="0.25">
      <c r="A36" t="s">
        <v>429</v>
      </c>
      <c r="B36" t="s">
        <v>1038</v>
      </c>
      <c r="C36" t="s">
        <v>1038</v>
      </c>
      <c r="D36" t="s">
        <v>123</v>
      </c>
      <c r="J36" s="3" t="s">
        <v>716</v>
      </c>
      <c r="N36">
        <f>VLOOKUP(O36,DB_PRODUCT!$D$2:$E$52,2,FALSE)</f>
        <v>4</v>
      </c>
      <c r="O36" t="s">
        <v>462</v>
      </c>
      <c r="P36" t="s">
        <v>462</v>
      </c>
      <c r="Q36" t="s">
        <v>121</v>
      </c>
    </row>
    <row r="37" spans="1:17" x14ac:dyDescent="0.25">
      <c r="A37" t="s">
        <v>429</v>
      </c>
      <c r="B37" t="s">
        <v>433</v>
      </c>
      <c r="C37" t="s">
        <v>433</v>
      </c>
      <c r="D37" t="s">
        <v>123</v>
      </c>
      <c r="J37" s="2" t="s">
        <v>741</v>
      </c>
      <c r="N37">
        <f>VLOOKUP(O37,DB_PRODUCT!$D$2:$E$52,2,FALSE)</f>
        <v>4</v>
      </c>
      <c r="O37" t="s">
        <v>462</v>
      </c>
      <c r="P37" t="s">
        <v>462</v>
      </c>
      <c r="Q37" t="s">
        <v>1187</v>
      </c>
    </row>
    <row r="38" spans="1:17" x14ac:dyDescent="0.25">
      <c r="A38" t="s">
        <v>429</v>
      </c>
      <c r="B38" t="s">
        <v>438</v>
      </c>
      <c r="C38" t="s">
        <v>438</v>
      </c>
      <c r="D38" t="s">
        <v>123</v>
      </c>
      <c r="J38" s="3" t="s">
        <v>647</v>
      </c>
      <c r="N38">
        <f>VLOOKUP(O38,DB_PRODUCT!$D$2:$E$52,2,FALSE)</f>
        <v>5</v>
      </c>
      <c r="O38" t="s">
        <v>465</v>
      </c>
      <c r="P38" t="s">
        <v>466</v>
      </c>
      <c r="Q38" t="s">
        <v>142</v>
      </c>
    </row>
    <row r="39" spans="1:17" x14ac:dyDescent="0.25">
      <c r="A39" t="s">
        <v>429</v>
      </c>
      <c r="B39" t="s">
        <v>437</v>
      </c>
      <c r="C39" t="s">
        <v>437</v>
      </c>
      <c r="D39" t="s">
        <v>123</v>
      </c>
      <c r="J39" s="2" t="s">
        <v>744</v>
      </c>
      <c r="N39">
        <f>VLOOKUP(O39,DB_PRODUCT!$D$2:$E$52,2,FALSE)</f>
        <v>6</v>
      </c>
      <c r="O39" t="s">
        <v>662</v>
      </c>
      <c r="P39" t="s">
        <v>662</v>
      </c>
      <c r="Q39" t="s">
        <v>121</v>
      </c>
    </row>
    <row r="40" spans="1:17" x14ac:dyDescent="0.25">
      <c r="A40" t="s">
        <v>429</v>
      </c>
      <c r="B40" t="s">
        <v>1083</v>
      </c>
      <c r="C40" t="s">
        <v>1084</v>
      </c>
      <c r="D40" t="s">
        <v>123</v>
      </c>
      <c r="J40" s="3" t="s">
        <v>745</v>
      </c>
      <c r="N40">
        <f>VLOOKUP(O40,DB_PRODUCT!$D$2:$E$52,2,FALSE)</f>
        <v>6</v>
      </c>
      <c r="O40" t="s">
        <v>662</v>
      </c>
      <c r="P40" t="s">
        <v>662</v>
      </c>
      <c r="Q40" t="s">
        <v>1187</v>
      </c>
    </row>
    <row r="41" spans="1:17" x14ac:dyDescent="0.25">
      <c r="A41" t="s">
        <v>429</v>
      </c>
      <c r="B41" t="s">
        <v>1083</v>
      </c>
      <c r="C41" t="s">
        <v>1086</v>
      </c>
      <c r="D41" t="s">
        <v>123</v>
      </c>
      <c r="J41" s="2" t="s">
        <v>753</v>
      </c>
      <c r="N41">
        <f>VLOOKUP(O41,DB_PRODUCT!$D$2:$E$52,2,FALSE)</f>
        <v>7</v>
      </c>
      <c r="O41" t="s">
        <v>512</v>
      </c>
      <c r="P41" t="s">
        <v>513</v>
      </c>
      <c r="Q41" t="s">
        <v>142</v>
      </c>
    </row>
    <row r="42" spans="1:17" x14ac:dyDescent="0.25">
      <c r="A42" t="s">
        <v>429</v>
      </c>
      <c r="B42" t="s">
        <v>1092</v>
      </c>
      <c r="C42" t="s">
        <v>1093</v>
      </c>
      <c r="D42" t="s">
        <v>123</v>
      </c>
      <c r="J42" s="3" t="s">
        <v>501</v>
      </c>
      <c r="N42">
        <f>VLOOKUP(O42,DB_PRODUCT!$D$2:$E$52,2,FALSE)</f>
        <v>8</v>
      </c>
      <c r="O42" t="s">
        <v>757</v>
      </c>
      <c r="P42" t="s">
        <v>757</v>
      </c>
      <c r="Q42" t="s">
        <v>151</v>
      </c>
    </row>
    <row r="43" spans="1:17" x14ac:dyDescent="0.25">
      <c r="A43" t="s">
        <v>429</v>
      </c>
      <c r="B43" t="s">
        <v>1100</v>
      </c>
      <c r="C43" t="s">
        <v>1100</v>
      </c>
      <c r="D43" t="s">
        <v>123</v>
      </c>
      <c r="J43" s="2" t="s">
        <v>906</v>
      </c>
      <c r="N43">
        <f>VLOOKUP(O43,DB_PRODUCT!$D$2:$E$52,2,FALSE)</f>
        <v>9</v>
      </c>
      <c r="O43" t="s">
        <v>470</v>
      </c>
      <c r="P43" t="s">
        <v>471</v>
      </c>
      <c r="Q43" t="s">
        <v>160</v>
      </c>
    </row>
    <row r="44" spans="1:17" x14ac:dyDescent="0.25">
      <c r="A44" t="s">
        <v>429</v>
      </c>
      <c r="B44" t="s">
        <v>1105</v>
      </c>
      <c r="C44" t="s">
        <v>1105</v>
      </c>
      <c r="D44" t="s">
        <v>123</v>
      </c>
      <c r="J44" s="2" t="s">
        <v>1064</v>
      </c>
      <c r="N44">
        <f>VLOOKUP(O44,DB_PRODUCT!$D$2:$E$52,2,FALSE)</f>
        <v>10</v>
      </c>
      <c r="O44" t="s">
        <v>479</v>
      </c>
      <c r="P44" t="s">
        <v>480</v>
      </c>
      <c r="Q44" t="s">
        <v>148</v>
      </c>
    </row>
    <row r="45" spans="1:17" x14ac:dyDescent="0.25">
      <c r="A45" t="s">
        <v>429</v>
      </c>
      <c r="B45" t="s">
        <v>453</v>
      </c>
      <c r="C45" t="s">
        <v>453</v>
      </c>
      <c r="D45" t="s">
        <v>123</v>
      </c>
      <c r="J45" s="3" t="s">
        <v>695</v>
      </c>
      <c r="N45">
        <f>VLOOKUP(O45,DB_PRODUCT!$D$2:$E$52,2,FALSE)</f>
        <v>10</v>
      </c>
      <c r="O45" t="s">
        <v>479</v>
      </c>
      <c r="P45" t="s">
        <v>482</v>
      </c>
      <c r="Q45" t="s">
        <v>148</v>
      </c>
    </row>
    <row r="46" spans="1:17" x14ac:dyDescent="0.25">
      <c r="A46" t="s">
        <v>429</v>
      </c>
      <c r="B46" t="s">
        <v>1083</v>
      </c>
      <c r="C46" t="s">
        <v>433</v>
      </c>
      <c r="D46" t="s">
        <v>123</v>
      </c>
      <c r="J46" s="2" t="s">
        <v>637</v>
      </c>
      <c r="N46">
        <f>VLOOKUP(O46,DB_PRODUCT!$D$2:$E$52,2,FALSE)</f>
        <v>10</v>
      </c>
      <c r="O46" t="s">
        <v>479</v>
      </c>
      <c r="P46" t="s">
        <v>479</v>
      </c>
      <c r="Q46" t="s">
        <v>148</v>
      </c>
    </row>
    <row r="47" spans="1:17" x14ac:dyDescent="0.25">
      <c r="A47" t="s">
        <v>429</v>
      </c>
      <c r="B47" t="s">
        <v>1134</v>
      </c>
      <c r="C47" t="s">
        <v>1134</v>
      </c>
      <c r="D47" t="s">
        <v>123</v>
      </c>
      <c r="J47" s="2" t="s">
        <v>759</v>
      </c>
      <c r="N47">
        <f>VLOOKUP(O47,DB_PRODUCT!$D$2:$E$52,2,FALSE)</f>
        <v>11</v>
      </c>
      <c r="O47" t="s">
        <v>1116</v>
      </c>
      <c r="P47" t="s">
        <v>1116</v>
      </c>
      <c r="Q47" t="s">
        <v>123</v>
      </c>
    </row>
    <row r="48" spans="1:17" x14ac:dyDescent="0.25">
      <c r="A48" t="s">
        <v>429</v>
      </c>
      <c r="B48" t="s">
        <v>446</v>
      </c>
      <c r="C48" t="s">
        <v>1178</v>
      </c>
      <c r="D48" t="s">
        <v>123</v>
      </c>
      <c r="J48" s="3" t="s">
        <v>530</v>
      </c>
      <c r="N48">
        <f>VLOOKUP(O48,DB_PRODUCT!$D$2:$E$52,2,FALSE)</f>
        <v>12</v>
      </c>
      <c r="O48" t="s">
        <v>475</v>
      </c>
      <c r="P48" t="s">
        <v>476</v>
      </c>
      <c r="Q48" t="s">
        <v>160</v>
      </c>
    </row>
    <row r="49" spans="1:17" x14ac:dyDescent="0.25">
      <c r="A49" t="s">
        <v>454</v>
      </c>
      <c r="B49" t="s">
        <v>455</v>
      </c>
      <c r="C49" t="s">
        <v>456</v>
      </c>
      <c r="D49" t="s">
        <v>123</v>
      </c>
      <c r="J49" s="2" t="s">
        <v>773</v>
      </c>
      <c r="N49">
        <f>VLOOKUP(O49,DB_PRODUCT!$D$2:$E$52,2,FALSE)</f>
        <v>12</v>
      </c>
      <c r="O49" t="s">
        <v>475</v>
      </c>
      <c r="P49" t="s">
        <v>1114</v>
      </c>
      <c r="Q49" t="s">
        <v>160</v>
      </c>
    </row>
    <row r="50" spans="1:17" x14ac:dyDescent="0.25">
      <c r="A50" t="s">
        <v>454</v>
      </c>
      <c r="B50" t="s">
        <v>457</v>
      </c>
      <c r="C50" t="s">
        <v>458</v>
      </c>
      <c r="D50" t="s">
        <v>123</v>
      </c>
      <c r="J50" s="2" t="s">
        <v>776</v>
      </c>
      <c r="N50">
        <f>VLOOKUP(O50,DB_PRODUCT!$D$2:$E$52,2,FALSE)</f>
        <v>13</v>
      </c>
      <c r="O50" t="s">
        <v>487</v>
      </c>
      <c r="P50" t="s">
        <v>488</v>
      </c>
      <c r="Q50" t="s">
        <v>148</v>
      </c>
    </row>
    <row r="51" spans="1:17" x14ac:dyDescent="0.25">
      <c r="A51" t="s">
        <v>454</v>
      </c>
      <c r="B51" t="s">
        <v>459</v>
      </c>
      <c r="C51" t="s">
        <v>460</v>
      </c>
      <c r="D51" t="s">
        <v>123</v>
      </c>
      <c r="J51" s="2" t="s">
        <v>515</v>
      </c>
      <c r="N51">
        <f>VLOOKUP(O51,DB_PRODUCT!$D$2:$E$52,2,FALSE)</f>
        <v>13</v>
      </c>
      <c r="O51" t="s">
        <v>487</v>
      </c>
      <c r="P51" t="s">
        <v>490</v>
      </c>
      <c r="Q51" t="s">
        <v>148</v>
      </c>
    </row>
    <row r="52" spans="1:17" x14ac:dyDescent="0.25">
      <c r="A52" t="s">
        <v>454</v>
      </c>
      <c r="B52" t="s">
        <v>459</v>
      </c>
      <c r="C52" t="s">
        <v>461</v>
      </c>
      <c r="D52" t="s">
        <v>123</v>
      </c>
      <c r="J52" s="3" t="s">
        <v>817</v>
      </c>
      <c r="N52">
        <f>VLOOKUP(O52,DB_PRODUCT!$D$2:$E$52,2,FALSE)</f>
        <v>13</v>
      </c>
      <c r="O52" t="s">
        <v>487</v>
      </c>
      <c r="P52" t="s">
        <v>492</v>
      </c>
      <c r="Q52" t="s">
        <v>148</v>
      </c>
    </row>
    <row r="53" spans="1:17" x14ac:dyDescent="0.25">
      <c r="A53" t="s">
        <v>887</v>
      </c>
      <c r="B53" t="s">
        <v>842</v>
      </c>
      <c r="C53" t="s">
        <v>641</v>
      </c>
      <c r="D53" t="s">
        <v>142</v>
      </c>
      <c r="N53">
        <f>VLOOKUP(O53,DB_PRODUCT!$D$2:$E$52,2,FALSE)</f>
        <v>14</v>
      </c>
      <c r="O53" t="s">
        <v>517</v>
      </c>
      <c r="P53" t="s">
        <v>518</v>
      </c>
      <c r="Q53" t="s">
        <v>142</v>
      </c>
    </row>
    <row r="54" spans="1:17" x14ac:dyDescent="0.25">
      <c r="A54" t="s">
        <v>462</v>
      </c>
      <c r="B54" t="s">
        <v>462</v>
      </c>
      <c r="C54" t="s">
        <v>463</v>
      </c>
      <c r="D54" t="s">
        <v>121</v>
      </c>
      <c r="N54">
        <f>VLOOKUP(O54,DB_PRODUCT!$D$2:$E$52,2,FALSE)</f>
        <v>14</v>
      </c>
      <c r="O54" t="s">
        <v>598</v>
      </c>
      <c r="P54" t="s">
        <v>518</v>
      </c>
      <c r="Q54" t="s">
        <v>123</v>
      </c>
    </row>
    <row r="55" spans="1:17" x14ac:dyDescent="0.25">
      <c r="A55" t="s">
        <v>462</v>
      </c>
      <c r="B55" t="s">
        <v>462</v>
      </c>
      <c r="C55" t="s">
        <v>464</v>
      </c>
      <c r="D55" t="s">
        <v>121</v>
      </c>
      <c r="N55">
        <f>VLOOKUP(O55,DB_PRODUCT!$D$2:$E$52,2,FALSE)</f>
        <v>15</v>
      </c>
      <c r="O55" t="s">
        <v>520</v>
      </c>
      <c r="P55" t="s">
        <v>521</v>
      </c>
      <c r="Q55" t="s">
        <v>118</v>
      </c>
    </row>
    <row r="56" spans="1:17" x14ac:dyDescent="0.25">
      <c r="A56" t="s">
        <v>462</v>
      </c>
      <c r="B56" t="s">
        <v>462</v>
      </c>
      <c r="C56" t="s">
        <v>463</v>
      </c>
      <c r="D56" t="s">
        <v>816</v>
      </c>
      <c r="N56">
        <f>VLOOKUP(O56,DB_PRODUCT!$D$2:$E$52,2,FALSE)</f>
        <v>15</v>
      </c>
      <c r="O56" t="s">
        <v>520</v>
      </c>
      <c r="P56" t="s">
        <v>523</v>
      </c>
      <c r="Q56" t="s">
        <v>118</v>
      </c>
    </row>
    <row r="57" spans="1:17" x14ac:dyDescent="0.25">
      <c r="A57" t="s">
        <v>462</v>
      </c>
      <c r="B57" t="s">
        <v>462</v>
      </c>
      <c r="C57" t="s">
        <v>464</v>
      </c>
      <c r="D57" t="s">
        <v>816</v>
      </c>
      <c r="N57">
        <f>VLOOKUP(O57,DB_PRODUCT!$D$2:$E$52,2,FALSE)</f>
        <v>16</v>
      </c>
      <c r="O57" t="s">
        <v>770</v>
      </c>
      <c r="P57" t="s">
        <v>771</v>
      </c>
      <c r="Q57" t="s">
        <v>154</v>
      </c>
    </row>
    <row r="58" spans="1:17" x14ac:dyDescent="0.25">
      <c r="A58" t="s">
        <v>462</v>
      </c>
      <c r="B58" t="s">
        <v>462</v>
      </c>
      <c r="C58" t="s">
        <v>1101</v>
      </c>
      <c r="D58" t="s">
        <v>121</v>
      </c>
      <c r="N58">
        <f>VLOOKUP(O58,DB_PRODUCT!$D$2:$E$52,2,FALSE)</f>
        <v>17</v>
      </c>
      <c r="O58" t="s">
        <v>525</v>
      </c>
      <c r="P58" t="s">
        <v>526</v>
      </c>
      <c r="Q58" t="s">
        <v>154</v>
      </c>
    </row>
    <row r="59" spans="1:17" x14ac:dyDescent="0.25">
      <c r="A59" t="s">
        <v>465</v>
      </c>
      <c r="B59" t="s">
        <v>466</v>
      </c>
      <c r="C59" t="s">
        <v>467</v>
      </c>
      <c r="D59" t="s">
        <v>142</v>
      </c>
      <c r="N59">
        <f>VLOOKUP(O59,DB_PRODUCT!$D$2:$E$52,2,FALSE)</f>
        <v>18</v>
      </c>
      <c r="O59" t="s">
        <v>924</v>
      </c>
      <c r="P59" t="s">
        <v>925</v>
      </c>
      <c r="Q59" t="s">
        <v>118</v>
      </c>
    </row>
    <row r="60" spans="1:17" x14ac:dyDescent="0.25">
      <c r="A60" t="s">
        <v>465</v>
      </c>
      <c r="B60" t="s">
        <v>466</v>
      </c>
      <c r="C60" t="s">
        <v>468</v>
      </c>
      <c r="D60" t="s">
        <v>142</v>
      </c>
      <c r="N60">
        <f>VLOOKUP(O60,DB_PRODUCT!$D$2:$E$52,2,FALSE)</f>
        <v>18</v>
      </c>
      <c r="O60" t="s">
        <v>1147</v>
      </c>
      <c r="P60" t="s">
        <v>1148</v>
      </c>
      <c r="Q60" t="s">
        <v>118</v>
      </c>
    </row>
    <row r="61" spans="1:17" x14ac:dyDescent="0.25">
      <c r="A61" t="s">
        <v>465</v>
      </c>
      <c r="B61" t="s">
        <v>466</v>
      </c>
      <c r="C61" t="s">
        <v>469</v>
      </c>
      <c r="D61" t="s">
        <v>142</v>
      </c>
      <c r="N61">
        <f>VLOOKUP(O61,DB_PRODUCT!$D$2:$E$52,2,FALSE)</f>
        <v>19</v>
      </c>
      <c r="O61" t="s">
        <v>534</v>
      </c>
      <c r="P61" t="s">
        <v>455</v>
      </c>
      <c r="Q61" t="s">
        <v>123</v>
      </c>
    </row>
    <row r="62" spans="1:17" x14ac:dyDescent="0.25">
      <c r="A62" t="s">
        <v>465</v>
      </c>
      <c r="B62" t="s">
        <v>466</v>
      </c>
      <c r="C62" t="s">
        <v>511</v>
      </c>
      <c r="D62" t="s">
        <v>142</v>
      </c>
      <c r="N62">
        <f>VLOOKUP(O62,DB_PRODUCT!$D$2:$E$52,2,FALSE)</f>
        <v>19</v>
      </c>
      <c r="O62" t="s">
        <v>534</v>
      </c>
      <c r="P62" t="s">
        <v>457</v>
      </c>
      <c r="Q62" t="s">
        <v>123</v>
      </c>
    </row>
    <row r="63" spans="1:17" x14ac:dyDescent="0.25">
      <c r="A63" t="s">
        <v>465</v>
      </c>
      <c r="B63" t="s">
        <v>466</v>
      </c>
      <c r="C63" t="s">
        <v>1029</v>
      </c>
      <c r="D63" t="s">
        <v>142</v>
      </c>
      <c r="N63">
        <f>VLOOKUP(O63,DB_PRODUCT!$D$2:$E$52,2,FALSE)</f>
        <v>19</v>
      </c>
      <c r="O63" t="s">
        <v>534</v>
      </c>
      <c r="P63" t="s">
        <v>538</v>
      </c>
      <c r="Q63" t="s">
        <v>123</v>
      </c>
    </row>
    <row r="64" spans="1:17" x14ac:dyDescent="0.25">
      <c r="A64" t="s">
        <v>662</v>
      </c>
      <c r="B64" t="s">
        <v>662</v>
      </c>
      <c r="C64" t="s">
        <v>663</v>
      </c>
      <c r="D64" t="s">
        <v>121</v>
      </c>
      <c r="N64">
        <f>VLOOKUP(O64,DB_PRODUCT!$D$2:$E$52,2,FALSE)</f>
        <v>19</v>
      </c>
      <c r="O64" t="s">
        <v>540</v>
      </c>
      <c r="P64" t="s">
        <v>541</v>
      </c>
      <c r="Q64" t="s">
        <v>123</v>
      </c>
    </row>
    <row r="65" spans="1:17" x14ac:dyDescent="0.25">
      <c r="A65" t="s">
        <v>662</v>
      </c>
      <c r="B65" t="s">
        <v>662</v>
      </c>
      <c r="C65" t="s">
        <v>464</v>
      </c>
      <c r="D65" t="s">
        <v>121</v>
      </c>
      <c r="N65">
        <f>VLOOKUP(O65,DB_PRODUCT!$D$2:$E$52,2,FALSE)</f>
        <v>20</v>
      </c>
      <c r="O65" t="s">
        <v>543</v>
      </c>
      <c r="P65" t="s">
        <v>459</v>
      </c>
      <c r="Q65" t="s">
        <v>123</v>
      </c>
    </row>
    <row r="66" spans="1:17" x14ac:dyDescent="0.25">
      <c r="A66" t="s">
        <v>662</v>
      </c>
      <c r="B66" t="s">
        <v>662</v>
      </c>
      <c r="C66" t="s">
        <v>663</v>
      </c>
      <c r="D66" t="s">
        <v>816</v>
      </c>
      <c r="N66">
        <f>VLOOKUP(O66,DB_PRODUCT!$D$2:$E$52,2,FALSE)</f>
        <v>20</v>
      </c>
      <c r="O66" t="s">
        <v>543</v>
      </c>
      <c r="P66" t="s">
        <v>430</v>
      </c>
      <c r="Q66" t="s">
        <v>123</v>
      </c>
    </row>
    <row r="67" spans="1:17" x14ac:dyDescent="0.25">
      <c r="A67" t="s">
        <v>662</v>
      </c>
      <c r="B67" t="s">
        <v>662</v>
      </c>
      <c r="C67" t="s">
        <v>464</v>
      </c>
      <c r="D67" t="s">
        <v>816</v>
      </c>
      <c r="N67">
        <f>VLOOKUP(O67,DB_PRODUCT!$D$2:$E$52,2,FALSE)</f>
        <v>21</v>
      </c>
      <c r="O67" t="s">
        <v>546</v>
      </c>
      <c r="P67" t="s">
        <v>547</v>
      </c>
      <c r="Q67" t="s">
        <v>154</v>
      </c>
    </row>
    <row r="68" spans="1:17" x14ac:dyDescent="0.25">
      <c r="A68" t="s">
        <v>512</v>
      </c>
      <c r="B68" t="s">
        <v>513</v>
      </c>
      <c r="C68" t="s">
        <v>514</v>
      </c>
      <c r="D68" t="s">
        <v>142</v>
      </c>
      <c r="N68">
        <f>VLOOKUP(O68,DB_PRODUCT!$D$2:$E$52,2,FALSE)</f>
        <v>22</v>
      </c>
      <c r="O68" t="s">
        <v>549</v>
      </c>
      <c r="P68" t="s">
        <v>550</v>
      </c>
      <c r="Q68" t="s">
        <v>123</v>
      </c>
    </row>
    <row r="69" spans="1:17" x14ac:dyDescent="0.25">
      <c r="A69" t="s">
        <v>512</v>
      </c>
      <c r="B69" t="s">
        <v>513</v>
      </c>
      <c r="C69" t="s">
        <v>822</v>
      </c>
      <c r="D69" t="s">
        <v>142</v>
      </c>
      <c r="N69">
        <f>VLOOKUP(O69,DB_PRODUCT!$D$2:$E$52,2,FALSE)</f>
        <v>23</v>
      </c>
      <c r="O69" t="s">
        <v>552</v>
      </c>
      <c r="P69" t="s">
        <v>553</v>
      </c>
      <c r="Q69" t="s">
        <v>118</v>
      </c>
    </row>
    <row r="70" spans="1:17" x14ac:dyDescent="0.25">
      <c r="A70" t="s">
        <v>757</v>
      </c>
      <c r="B70" t="s">
        <v>757</v>
      </c>
      <c r="C70" t="s">
        <v>758</v>
      </c>
      <c r="D70" t="s">
        <v>151</v>
      </c>
      <c r="N70">
        <f>VLOOKUP(O70,DB_PRODUCT!$D$2:$E$52,2,FALSE)</f>
        <v>24</v>
      </c>
      <c r="O70" t="s">
        <v>494</v>
      </c>
      <c r="P70" t="s">
        <v>495</v>
      </c>
      <c r="Q70" t="s">
        <v>148</v>
      </c>
    </row>
    <row r="71" spans="1:17" x14ac:dyDescent="0.25">
      <c r="A71" t="s">
        <v>470</v>
      </c>
      <c r="B71" t="s">
        <v>471</v>
      </c>
      <c r="C71" t="s">
        <v>472</v>
      </c>
      <c r="D71" t="s">
        <v>160</v>
      </c>
      <c r="N71">
        <f>VLOOKUP(O71,DB_PRODUCT!$D$2:$E$52,2,FALSE)</f>
        <v>24</v>
      </c>
      <c r="O71" t="s">
        <v>494</v>
      </c>
      <c r="P71" t="s">
        <v>496</v>
      </c>
      <c r="Q71" t="s">
        <v>148</v>
      </c>
    </row>
    <row r="72" spans="1:17" x14ac:dyDescent="0.25">
      <c r="A72" t="s">
        <v>470</v>
      </c>
      <c r="B72" t="s">
        <v>471</v>
      </c>
      <c r="C72" t="s">
        <v>473</v>
      </c>
      <c r="D72" t="s">
        <v>160</v>
      </c>
      <c r="N72">
        <f>VLOOKUP(O72,DB_PRODUCT!$D$2:$E$52,2,FALSE)</f>
        <v>24</v>
      </c>
      <c r="O72" t="s">
        <v>494</v>
      </c>
      <c r="P72" t="s">
        <v>1027</v>
      </c>
      <c r="Q72" t="s">
        <v>148</v>
      </c>
    </row>
    <row r="73" spans="1:17" x14ac:dyDescent="0.25">
      <c r="A73" t="s">
        <v>470</v>
      </c>
      <c r="B73" t="s">
        <v>471</v>
      </c>
      <c r="C73" t="s">
        <v>474</v>
      </c>
      <c r="D73" t="s">
        <v>160</v>
      </c>
      <c r="N73">
        <f>VLOOKUP(O73,DB_PRODUCT!$D$2:$E$52,2,FALSE)</f>
        <v>24</v>
      </c>
      <c r="O73" t="s">
        <v>494</v>
      </c>
      <c r="P73" t="s">
        <v>1030</v>
      </c>
      <c r="Q73" t="s">
        <v>148</v>
      </c>
    </row>
    <row r="74" spans="1:17" x14ac:dyDescent="0.25">
      <c r="A74" t="s">
        <v>479</v>
      </c>
      <c r="B74" t="s">
        <v>480</v>
      </c>
      <c r="C74" t="s">
        <v>481</v>
      </c>
      <c r="D74" t="s">
        <v>148</v>
      </c>
      <c r="N74">
        <f>VLOOKUP(O74,DB_PRODUCT!$D$2:$E$52,2,FALSE)</f>
        <v>25</v>
      </c>
      <c r="O74" t="s">
        <v>560</v>
      </c>
      <c r="P74" t="s">
        <v>561</v>
      </c>
      <c r="Q74" t="s">
        <v>123</v>
      </c>
    </row>
    <row r="75" spans="1:17" x14ac:dyDescent="0.25">
      <c r="A75" t="s">
        <v>479</v>
      </c>
      <c r="B75" t="s">
        <v>482</v>
      </c>
      <c r="C75" t="s">
        <v>483</v>
      </c>
      <c r="D75" t="s">
        <v>148</v>
      </c>
      <c r="N75">
        <f>VLOOKUP(O75,DB_PRODUCT!$D$2:$E$52,2,FALSE)</f>
        <v>25</v>
      </c>
      <c r="O75" t="s">
        <v>560</v>
      </c>
      <c r="P75" t="s">
        <v>579</v>
      </c>
      <c r="Q75" t="s">
        <v>121</v>
      </c>
    </row>
    <row r="76" spans="1:17" x14ac:dyDescent="0.25">
      <c r="A76" t="s">
        <v>479</v>
      </c>
      <c r="B76" t="s">
        <v>482</v>
      </c>
      <c r="C76" t="s">
        <v>484</v>
      </c>
      <c r="D76" t="s">
        <v>148</v>
      </c>
      <c r="N76">
        <f>VLOOKUP(O76,DB_PRODUCT!$D$2:$E$52,2,FALSE)</f>
        <v>25</v>
      </c>
      <c r="O76" t="s">
        <v>560</v>
      </c>
      <c r="P76" t="s">
        <v>581</v>
      </c>
      <c r="Q76" t="s">
        <v>151</v>
      </c>
    </row>
    <row r="77" spans="1:17" x14ac:dyDescent="0.25">
      <c r="A77" t="s">
        <v>479</v>
      </c>
      <c r="B77" t="s">
        <v>482</v>
      </c>
      <c r="C77" t="s">
        <v>485</v>
      </c>
      <c r="D77" t="s">
        <v>148</v>
      </c>
      <c r="N77">
        <f>VLOOKUP(O77,DB_PRODUCT!$D$2:$E$52,2,FALSE)</f>
        <v>25</v>
      </c>
      <c r="O77" t="s">
        <v>560</v>
      </c>
      <c r="P77" t="s">
        <v>584</v>
      </c>
      <c r="Q77" t="s">
        <v>118</v>
      </c>
    </row>
    <row r="78" spans="1:17" x14ac:dyDescent="0.25">
      <c r="A78" t="s">
        <v>479</v>
      </c>
      <c r="B78" t="s">
        <v>482</v>
      </c>
      <c r="C78" t="s">
        <v>486</v>
      </c>
      <c r="D78" t="s">
        <v>148</v>
      </c>
      <c r="N78">
        <f>VLOOKUP(O78,DB_PRODUCT!$D$2:$E$52,2,FALSE)</f>
        <v>25</v>
      </c>
      <c r="O78" t="s">
        <v>560</v>
      </c>
      <c r="P78" t="s">
        <v>586</v>
      </c>
      <c r="Q78" t="s">
        <v>121</v>
      </c>
    </row>
    <row r="79" spans="1:17" x14ac:dyDescent="0.25">
      <c r="A79" t="s">
        <v>479</v>
      </c>
      <c r="B79" t="s">
        <v>479</v>
      </c>
      <c r="C79" t="s">
        <v>464</v>
      </c>
      <c r="D79" t="s">
        <v>148</v>
      </c>
      <c r="N79">
        <f>VLOOKUP(O79,DB_PRODUCT!$D$2:$E$52,2,FALSE)</f>
        <v>25</v>
      </c>
      <c r="O79" t="s">
        <v>560</v>
      </c>
      <c r="P79" t="s">
        <v>600</v>
      </c>
      <c r="Q79" t="s">
        <v>142</v>
      </c>
    </row>
    <row r="80" spans="1:17" x14ac:dyDescent="0.25">
      <c r="A80" t="s">
        <v>479</v>
      </c>
      <c r="B80" t="s">
        <v>480</v>
      </c>
      <c r="C80" t="s">
        <v>944</v>
      </c>
      <c r="D80" t="s">
        <v>148</v>
      </c>
      <c r="N80">
        <f>VLOOKUP(O80,DB_PRODUCT!$D$2:$E$52,2,FALSE)</f>
        <v>25</v>
      </c>
      <c r="O80" t="s">
        <v>560</v>
      </c>
      <c r="P80" t="s">
        <v>600</v>
      </c>
      <c r="Q80" t="s">
        <v>121</v>
      </c>
    </row>
    <row r="81" spans="1:17" x14ac:dyDescent="0.25">
      <c r="A81" t="s">
        <v>479</v>
      </c>
      <c r="B81" t="s">
        <v>482</v>
      </c>
      <c r="C81" t="s">
        <v>1031</v>
      </c>
      <c r="D81" t="s">
        <v>148</v>
      </c>
      <c r="N81">
        <f>VLOOKUP(O81,DB_PRODUCT!$D$2:$E$52,2,FALSE)</f>
        <v>25</v>
      </c>
      <c r="O81" t="s">
        <v>560</v>
      </c>
      <c r="P81" t="s">
        <v>603</v>
      </c>
      <c r="Q81" t="s">
        <v>121</v>
      </c>
    </row>
    <row r="82" spans="1:17" x14ac:dyDescent="0.25">
      <c r="A82" t="s">
        <v>479</v>
      </c>
      <c r="B82" t="s">
        <v>482</v>
      </c>
      <c r="C82" t="s">
        <v>1052</v>
      </c>
      <c r="D82" t="s">
        <v>148</v>
      </c>
      <c r="N82">
        <f>VLOOKUP(O82,DB_PRODUCT!$D$2:$E$52,2,FALSE)</f>
        <v>25</v>
      </c>
      <c r="O82" t="s">
        <v>560</v>
      </c>
      <c r="P82" t="s">
        <v>668</v>
      </c>
      <c r="Q82" t="s">
        <v>121</v>
      </c>
    </row>
    <row r="83" spans="1:17" x14ac:dyDescent="0.25">
      <c r="A83" t="s">
        <v>479</v>
      </c>
      <c r="B83" t="s">
        <v>482</v>
      </c>
      <c r="C83" t="s">
        <v>1054</v>
      </c>
      <c r="D83" t="s">
        <v>148</v>
      </c>
      <c r="N83">
        <f>VLOOKUP(O83,DB_PRODUCT!$D$2:$E$52,2,FALSE)</f>
        <v>25</v>
      </c>
      <c r="O83" t="s">
        <v>560</v>
      </c>
      <c r="P83" t="s">
        <v>579</v>
      </c>
      <c r="Q83" t="s">
        <v>1187</v>
      </c>
    </row>
    <row r="84" spans="1:17" x14ac:dyDescent="0.25">
      <c r="A84" t="s">
        <v>479</v>
      </c>
      <c r="B84" t="s">
        <v>480</v>
      </c>
      <c r="C84" t="s">
        <v>1063</v>
      </c>
      <c r="D84" t="s">
        <v>148</v>
      </c>
      <c r="N84">
        <f>VLOOKUP(O84,DB_PRODUCT!$D$2:$E$52,2,FALSE)</f>
        <v>25</v>
      </c>
      <c r="O84" t="s">
        <v>560</v>
      </c>
      <c r="P84" t="s">
        <v>586</v>
      </c>
      <c r="Q84" t="s">
        <v>1187</v>
      </c>
    </row>
    <row r="85" spans="1:17" x14ac:dyDescent="0.25">
      <c r="A85" t="s">
        <v>1116</v>
      </c>
      <c r="B85" t="s">
        <v>1116</v>
      </c>
      <c r="C85" t="s">
        <v>1116</v>
      </c>
      <c r="D85" t="s">
        <v>123</v>
      </c>
      <c r="N85">
        <f>VLOOKUP(O85,DB_PRODUCT!$D$2:$E$52,2,FALSE)</f>
        <v>25</v>
      </c>
      <c r="O85" t="s">
        <v>560</v>
      </c>
      <c r="P85" t="s">
        <v>600</v>
      </c>
      <c r="Q85" t="s">
        <v>1187</v>
      </c>
    </row>
    <row r="86" spans="1:17" x14ac:dyDescent="0.25">
      <c r="A86" t="s">
        <v>475</v>
      </c>
      <c r="B86" t="s">
        <v>476</v>
      </c>
      <c r="C86" t="s">
        <v>477</v>
      </c>
      <c r="D86" t="s">
        <v>160</v>
      </c>
      <c r="N86">
        <f>VLOOKUP(O86,DB_PRODUCT!$D$2:$E$52,2,FALSE)</f>
        <v>25</v>
      </c>
      <c r="O86" t="s">
        <v>560</v>
      </c>
      <c r="P86" t="s">
        <v>603</v>
      </c>
      <c r="Q86" t="s">
        <v>1187</v>
      </c>
    </row>
    <row r="87" spans="1:17" x14ac:dyDescent="0.25">
      <c r="A87" t="s">
        <v>475</v>
      </c>
      <c r="B87" t="s">
        <v>476</v>
      </c>
      <c r="C87" t="s">
        <v>478</v>
      </c>
      <c r="D87" t="s">
        <v>160</v>
      </c>
      <c r="N87">
        <f>VLOOKUP(O87,DB_PRODUCT!$D$2:$E$52,2,FALSE)</f>
        <v>25</v>
      </c>
      <c r="O87" t="s">
        <v>560</v>
      </c>
      <c r="P87" t="s">
        <v>842</v>
      </c>
      <c r="Q87" t="s">
        <v>142</v>
      </c>
    </row>
    <row r="88" spans="1:17" x14ac:dyDescent="0.25">
      <c r="A88" t="s">
        <v>475</v>
      </c>
      <c r="B88" t="s">
        <v>1114</v>
      </c>
      <c r="C88" t="s">
        <v>1115</v>
      </c>
      <c r="D88" t="s">
        <v>160</v>
      </c>
      <c r="N88">
        <f>VLOOKUP(O88,DB_PRODUCT!$D$2:$E$52,2,FALSE)</f>
        <v>25</v>
      </c>
      <c r="O88" t="s">
        <v>560</v>
      </c>
      <c r="P88" t="s">
        <v>586</v>
      </c>
      <c r="Q88" t="s">
        <v>157</v>
      </c>
    </row>
    <row r="89" spans="1:17" x14ac:dyDescent="0.25">
      <c r="A89" t="s">
        <v>487</v>
      </c>
      <c r="B89" t="s">
        <v>488</v>
      </c>
      <c r="C89" t="s">
        <v>489</v>
      </c>
      <c r="D89" t="s">
        <v>148</v>
      </c>
      <c r="N89">
        <f>VLOOKUP(O89,DB_PRODUCT!$D$2:$E$52,2,FALSE)</f>
        <v>25</v>
      </c>
      <c r="O89" t="s">
        <v>560</v>
      </c>
      <c r="P89" t="s">
        <v>921</v>
      </c>
      <c r="Q89" t="s">
        <v>121</v>
      </c>
    </row>
    <row r="90" spans="1:17" x14ac:dyDescent="0.25">
      <c r="A90" t="s">
        <v>487</v>
      </c>
      <c r="B90" t="s">
        <v>488</v>
      </c>
      <c r="C90" t="s">
        <v>464</v>
      </c>
      <c r="D90" t="s">
        <v>148</v>
      </c>
      <c r="N90">
        <f>VLOOKUP(O90,DB_PRODUCT!$D$2:$E$52,2,FALSE)</f>
        <v>25</v>
      </c>
      <c r="O90" t="s">
        <v>560</v>
      </c>
      <c r="P90" t="s">
        <v>937</v>
      </c>
      <c r="Q90" t="s">
        <v>142</v>
      </c>
    </row>
    <row r="91" spans="1:17" x14ac:dyDescent="0.25">
      <c r="A91" t="s">
        <v>487</v>
      </c>
      <c r="B91" t="s">
        <v>490</v>
      </c>
      <c r="C91" t="s">
        <v>491</v>
      </c>
      <c r="D91" t="s">
        <v>148</v>
      </c>
      <c r="N91">
        <f>VLOOKUP(O91,DB_PRODUCT!$D$2:$E$52,2,FALSE)</f>
        <v>25</v>
      </c>
      <c r="O91" t="s">
        <v>560</v>
      </c>
      <c r="P91" t="s">
        <v>834</v>
      </c>
      <c r="Q91" t="s">
        <v>121</v>
      </c>
    </row>
    <row r="92" spans="1:17" x14ac:dyDescent="0.25">
      <c r="A92" t="s">
        <v>487</v>
      </c>
      <c r="B92" t="s">
        <v>492</v>
      </c>
      <c r="C92" t="s">
        <v>493</v>
      </c>
      <c r="D92" t="s">
        <v>148</v>
      </c>
      <c r="N92">
        <f>VLOOKUP(O92,DB_PRODUCT!$D$2:$E$52,2,FALSE)</f>
        <v>25</v>
      </c>
      <c r="O92" t="s">
        <v>560</v>
      </c>
      <c r="P92" t="s">
        <v>668</v>
      </c>
      <c r="Q92" t="s">
        <v>123</v>
      </c>
    </row>
    <row r="93" spans="1:17" x14ac:dyDescent="0.25">
      <c r="A93" t="s">
        <v>487</v>
      </c>
      <c r="B93" t="s">
        <v>488</v>
      </c>
      <c r="C93" t="s">
        <v>854</v>
      </c>
      <c r="D93" t="s">
        <v>148</v>
      </c>
      <c r="N93">
        <f>VLOOKUP(O93,DB_PRODUCT!$D$2:$E$52,2,FALSE)</f>
        <v>26</v>
      </c>
      <c r="O93" t="s">
        <v>683</v>
      </c>
      <c r="P93" t="s">
        <v>684</v>
      </c>
      <c r="Q93" t="s">
        <v>123</v>
      </c>
    </row>
    <row r="94" spans="1:17" x14ac:dyDescent="0.25">
      <c r="A94" t="s">
        <v>487</v>
      </c>
      <c r="B94" t="s">
        <v>488</v>
      </c>
      <c r="C94" t="s">
        <v>898</v>
      </c>
      <c r="D94" t="s">
        <v>148</v>
      </c>
      <c r="N94">
        <f>VLOOKUP(O94,DB_PRODUCT!$D$2:$E$52,2,FALSE)</f>
        <v>26</v>
      </c>
      <c r="O94" t="s">
        <v>683</v>
      </c>
      <c r="P94" t="s">
        <v>430</v>
      </c>
      <c r="Q94" t="s">
        <v>123</v>
      </c>
    </row>
    <row r="95" spans="1:17" x14ac:dyDescent="0.25">
      <c r="A95" t="s">
        <v>517</v>
      </c>
      <c r="B95" t="s">
        <v>518</v>
      </c>
      <c r="C95" t="s">
        <v>519</v>
      </c>
      <c r="D95" t="s">
        <v>142</v>
      </c>
      <c r="N95">
        <f>VLOOKUP(O95,DB_PRODUCT!$D$2:$E$52,2,FALSE)</f>
        <v>27</v>
      </c>
      <c r="O95" t="s">
        <v>504</v>
      </c>
      <c r="P95" t="s">
        <v>498</v>
      </c>
      <c r="Q95" t="s">
        <v>148</v>
      </c>
    </row>
    <row r="96" spans="1:17" x14ac:dyDescent="0.25">
      <c r="A96" t="s">
        <v>517</v>
      </c>
      <c r="B96" t="s">
        <v>518</v>
      </c>
      <c r="C96" t="s">
        <v>592</v>
      </c>
      <c r="D96" t="s">
        <v>142</v>
      </c>
      <c r="N96">
        <f>VLOOKUP(O96,DB_PRODUCT!$D$2:$E$52,2,FALSE)</f>
        <v>27</v>
      </c>
      <c r="O96" t="s">
        <v>504</v>
      </c>
      <c r="P96" t="s">
        <v>506</v>
      </c>
      <c r="Q96" t="s">
        <v>148</v>
      </c>
    </row>
    <row r="97" spans="1:17" x14ac:dyDescent="0.25">
      <c r="A97" t="s">
        <v>517</v>
      </c>
      <c r="B97" t="s">
        <v>518</v>
      </c>
      <c r="C97" t="s">
        <v>596</v>
      </c>
      <c r="D97" t="s">
        <v>142</v>
      </c>
      <c r="N97">
        <f>VLOOKUP(O97,DB_PRODUCT!$D$2:$E$52,2,FALSE)</f>
        <v>27</v>
      </c>
      <c r="O97" t="s">
        <v>504</v>
      </c>
      <c r="P97" t="s">
        <v>508</v>
      </c>
      <c r="Q97" t="s">
        <v>148</v>
      </c>
    </row>
    <row r="98" spans="1:17" x14ac:dyDescent="0.25">
      <c r="A98" t="s">
        <v>517</v>
      </c>
      <c r="B98" t="s">
        <v>518</v>
      </c>
      <c r="C98" t="s">
        <v>597</v>
      </c>
      <c r="D98" t="s">
        <v>142</v>
      </c>
      <c r="N98">
        <f>VLOOKUP(O98,DB_PRODUCT!$D$2:$E$52,2,FALSE)</f>
        <v>27</v>
      </c>
      <c r="O98" t="s">
        <v>504</v>
      </c>
      <c r="P98" t="s">
        <v>688</v>
      </c>
      <c r="Q98" t="s">
        <v>148</v>
      </c>
    </row>
    <row r="99" spans="1:17" x14ac:dyDescent="0.25">
      <c r="A99" t="s">
        <v>598</v>
      </c>
      <c r="B99" t="s">
        <v>518</v>
      </c>
      <c r="C99" t="s">
        <v>599</v>
      </c>
      <c r="D99" t="s">
        <v>142</v>
      </c>
      <c r="N99">
        <f>VLOOKUP(O99,DB_PRODUCT!$D$2:$E$52,2,FALSE)</f>
        <v>27</v>
      </c>
      <c r="O99" t="s">
        <v>504</v>
      </c>
      <c r="P99" t="s">
        <v>971</v>
      </c>
      <c r="Q99" t="s">
        <v>148</v>
      </c>
    </row>
    <row r="100" spans="1:17" x14ac:dyDescent="0.25">
      <c r="A100" t="s">
        <v>598</v>
      </c>
      <c r="B100" t="s">
        <v>518</v>
      </c>
      <c r="C100" t="s">
        <v>519</v>
      </c>
      <c r="D100" t="s">
        <v>123</v>
      </c>
      <c r="N100">
        <f>VLOOKUP(O100,DB_PRODUCT!$D$2:$E$52,2,FALSE)</f>
        <v>27</v>
      </c>
      <c r="O100" t="s">
        <v>504</v>
      </c>
      <c r="P100" t="s">
        <v>508</v>
      </c>
      <c r="Q100" t="s">
        <v>121</v>
      </c>
    </row>
    <row r="101" spans="1:17" x14ac:dyDescent="0.25">
      <c r="A101" t="s">
        <v>517</v>
      </c>
      <c r="B101" t="s">
        <v>518</v>
      </c>
      <c r="C101" t="s">
        <v>885</v>
      </c>
      <c r="D101" t="s">
        <v>142</v>
      </c>
      <c r="N101">
        <f>VLOOKUP(O101,DB_PRODUCT!$D$2:$E$52,2,FALSE)</f>
        <v>28</v>
      </c>
      <c r="O101" t="s">
        <v>680</v>
      </c>
      <c r="P101" t="s">
        <v>681</v>
      </c>
      <c r="Q101" t="s">
        <v>151</v>
      </c>
    </row>
    <row r="102" spans="1:17" x14ac:dyDescent="0.25">
      <c r="A102" t="s">
        <v>517</v>
      </c>
      <c r="B102" t="s">
        <v>518</v>
      </c>
      <c r="C102" t="s">
        <v>949</v>
      </c>
      <c r="D102" t="s">
        <v>142</v>
      </c>
      <c r="N102">
        <f>VLOOKUP(O102,DB_PRODUCT!$D$2:$E$52,2,FALSE)</f>
        <v>29</v>
      </c>
      <c r="O102" t="s">
        <v>690</v>
      </c>
      <c r="P102" t="s">
        <v>691</v>
      </c>
      <c r="Q102" t="s">
        <v>121</v>
      </c>
    </row>
    <row r="103" spans="1:17" x14ac:dyDescent="0.25">
      <c r="A103" t="s">
        <v>520</v>
      </c>
      <c r="B103" t="s">
        <v>521</v>
      </c>
      <c r="C103" t="s">
        <v>522</v>
      </c>
      <c r="D103" t="s">
        <v>118</v>
      </c>
      <c r="N103">
        <f>VLOOKUP(O103,DB_PRODUCT!$D$2:$E$52,2,FALSE)</f>
        <v>29</v>
      </c>
      <c r="O103" t="s">
        <v>690</v>
      </c>
      <c r="P103" t="s">
        <v>691</v>
      </c>
      <c r="Q103" t="s">
        <v>1187</v>
      </c>
    </row>
    <row r="104" spans="1:17" x14ac:dyDescent="0.25">
      <c r="A104" t="s">
        <v>520</v>
      </c>
      <c r="B104" t="s">
        <v>523</v>
      </c>
      <c r="C104" t="s">
        <v>524</v>
      </c>
      <c r="D104" t="s">
        <v>118</v>
      </c>
      <c r="N104">
        <f>VLOOKUP(O104,DB_PRODUCT!$D$2:$E$52,2,FALSE)</f>
        <v>30</v>
      </c>
      <c r="O104" t="s">
        <v>497</v>
      </c>
      <c r="P104" t="s">
        <v>498</v>
      </c>
      <c r="Q104" t="s">
        <v>148</v>
      </c>
    </row>
    <row r="105" spans="1:17" x14ac:dyDescent="0.25">
      <c r="A105" t="s">
        <v>770</v>
      </c>
      <c r="B105" t="s">
        <v>771</v>
      </c>
      <c r="C105" t="s">
        <v>772</v>
      </c>
      <c r="D105" t="s">
        <v>154</v>
      </c>
      <c r="N105">
        <f>VLOOKUP(O105,DB_PRODUCT!$D$2:$E$52,2,FALSE)</f>
        <v>31</v>
      </c>
      <c r="O105" t="s">
        <v>698</v>
      </c>
      <c r="P105" t="s">
        <v>699</v>
      </c>
      <c r="Q105" t="s">
        <v>157</v>
      </c>
    </row>
    <row r="106" spans="1:17" x14ac:dyDescent="0.25">
      <c r="A106" t="s">
        <v>525</v>
      </c>
      <c r="B106" t="s">
        <v>526</v>
      </c>
      <c r="C106" t="s">
        <v>527</v>
      </c>
      <c r="D106" t="s">
        <v>154</v>
      </c>
      <c r="N106">
        <f>VLOOKUP(O106,DB_PRODUCT!$D$2:$E$52,2,FALSE)</f>
        <v>31</v>
      </c>
      <c r="O106" t="s">
        <v>698</v>
      </c>
      <c r="P106" t="s">
        <v>746</v>
      </c>
      <c r="Q106" t="s">
        <v>157</v>
      </c>
    </row>
    <row r="107" spans="1:17" x14ac:dyDescent="0.25">
      <c r="A107" t="s">
        <v>525</v>
      </c>
      <c r="B107" t="s">
        <v>526</v>
      </c>
      <c r="C107" t="s">
        <v>528</v>
      </c>
      <c r="D107" t="s">
        <v>154</v>
      </c>
      <c r="N107">
        <f>VLOOKUP(O107,DB_PRODUCT!$D$2:$E$52,2,FALSE)</f>
        <v>32</v>
      </c>
      <c r="O107" t="s">
        <v>701</v>
      </c>
      <c r="P107" t="s">
        <v>702</v>
      </c>
      <c r="Q107" t="s">
        <v>118</v>
      </c>
    </row>
    <row r="108" spans="1:17" x14ac:dyDescent="0.25">
      <c r="A108" t="s">
        <v>525</v>
      </c>
      <c r="B108" t="s">
        <v>526</v>
      </c>
      <c r="C108" t="s">
        <v>529</v>
      </c>
      <c r="D108" t="s">
        <v>154</v>
      </c>
      <c r="N108">
        <f>VLOOKUP(O108,DB_PRODUCT!$D$2:$E$52,2,FALSE)</f>
        <v>32</v>
      </c>
      <c r="O108" t="s">
        <v>707</v>
      </c>
      <c r="P108" t="s">
        <v>521</v>
      </c>
      <c r="Q108" t="s">
        <v>118</v>
      </c>
    </row>
    <row r="109" spans="1:17" x14ac:dyDescent="0.25">
      <c r="A109" t="s">
        <v>525</v>
      </c>
      <c r="B109" t="s">
        <v>526</v>
      </c>
      <c r="C109" t="s">
        <v>1104</v>
      </c>
      <c r="D109" t="s">
        <v>154</v>
      </c>
      <c r="N109">
        <f>VLOOKUP(O109,DB_PRODUCT!$D$2:$E$52,2,FALSE)</f>
        <v>32</v>
      </c>
      <c r="O109" t="s">
        <v>701</v>
      </c>
      <c r="P109" t="s">
        <v>743</v>
      </c>
      <c r="Q109" t="s">
        <v>118</v>
      </c>
    </row>
    <row r="110" spans="1:17" x14ac:dyDescent="0.25">
      <c r="A110" t="s">
        <v>924</v>
      </c>
      <c r="B110" t="s">
        <v>925</v>
      </c>
      <c r="C110" t="s">
        <v>926</v>
      </c>
      <c r="D110" t="s">
        <v>118</v>
      </c>
      <c r="N110">
        <f>VLOOKUP(O110,DB_PRODUCT!$D$2:$E$52,2,FALSE)</f>
        <v>32</v>
      </c>
      <c r="O110" t="s">
        <v>701</v>
      </c>
      <c r="P110" t="s">
        <v>701</v>
      </c>
      <c r="Q110" t="s">
        <v>118</v>
      </c>
    </row>
    <row r="111" spans="1:17" x14ac:dyDescent="0.25">
      <c r="A111" t="s">
        <v>924</v>
      </c>
      <c r="B111" t="s">
        <v>925</v>
      </c>
      <c r="C111" t="s">
        <v>927</v>
      </c>
      <c r="D111" t="s">
        <v>118</v>
      </c>
      <c r="N111">
        <f>VLOOKUP(O111,DB_PRODUCT!$D$2:$E$52,2,FALSE)</f>
        <v>33</v>
      </c>
      <c r="O111" t="s">
        <v>1060</v>
      </c>
      <c r="P111" t="s">
        <v>1061</v>
      </c>
      <c r="Q111" t="s">
        <v>148</v>
      </c>
    </row>
    <row r="112" spans="1:17" x14ac:dyDescent="0.25">
      <c r="A112" t="s">
        <v>1147</v>
      </c>
      <c r="B112" t="s">
        <v>1148</v>
      </c>
      <c r="C112" t="s">
        <v>925</v>
      </c>
      <c r="D112" t="s">
        <v>118</v>
      </c>
      <c r="N112">
        <f>VLOOKUP(O112,DB_PRODUCT!$D$2:$E$52,2,FALSE)</f>
        <v>34</v>
      </c>
      <c r="O112" t="s">
        <v>716</v>
      </c>
      <c r="P112" t="s">
        <v>717</v>
      </c>
      <c r="Q112" t="s">
        <v>123</v>
      </c>
    </row>
    <row r="113" spans="1:17" x14ac:dyDescent="0.25">
      <c r="A113" t="s">
        <v>534</v>
      </c>
      <c r="B113" t="s">
        <v>455</v>
      </c>
      <c r="C113" t="s">
        <v>535</v>
      </c>
      <c r="D113" t="s">
        <v>123</v>
      </c>
      <c r="N113">
        <f>VLOOKUP(O113,DB_PRODUCT!$D$2:$E$52,2,FALSE)</f>
        <v>34</v>
      </c>
      <c r="O113" t="s">
        <v>716</v>
      </c>
      <c r="P113" t="s">
        <v>724</v>
      </c>
      <c r="Q113" t="s">
        <v>123</v>
      </c>
    </row>
    <row r="114" spans="1:17" x14ac:dyDescent="0.25">
      <c r="A114" t="s">
        <v>534</v>
      </c>
      <c r="B114" t="s">
        <v>457</v>
      </c>
      <c r="C114" t="s">
        <v>537</v>
      </c>
      <c r="D114" t="s">
        <v>123</v>
      </c>
      <c r="N114">
        <f>VLOOKUP(O114,DB_PRODUCT!$D$2:$E$52,2,FALSE)</f>
        <v>34</v>
      </c>
      <c r="O114" t="s">
        <v>716</v>
      </c>
      <c r="P114" t="s">
        <v>729</v>
      </c>
      <c r="Q114" t="s">
        <v>123</v>
      </c>
    </row>
    <row r="115" spans="1:17" x14ac:dyDescent="0.25">
      <c r="A115" t="s">
        <v>534</v>
      </c>
      <c r="B115" t="s">
        <v>538</v>
      </c>
      <c r="C115" t="s">
        <v>539</v>
      </c>
      <c r="D115" t="s">
        <v>123</v>
      </c>
      <c r="N115">
        <f>VLOOKUP(O115,DB_PRODUCT!$D$2:$E$52,2,FALSE)</f>
        <v>34</v>
      </c>
      <c r="O115" t="s">
        <v>716</v>
      </c>
      <c r="P115" t="s">
        <v>733</v>
      </c>
      <c r="Q115" t="s">
        <v>123</v>
      </c>
    </row>
    <row r="116" spans="1:17" x14ac:dyDescent="0.25">
      <c r="A116" t="s">
        <v>540</v>
      </c>
      <c r="B116" t="s">
        <v>541</v>
      </c>
      <c r="C116" t="s">
        <v>542</v>
      </c>
      <c r="D116" t="s">
        <v>123</v>
      </c>
      <c r="N116">
        <f>VLOOKUP(O116,DB_PRODUCT!$D$2:$E$52,2,FALSE)</f>
        <v>34</v>
      </c>
      <c r="O116" t="s">
        <v>716</v>
      </c>
      <c r="P116" t="s">
        <v>735</v>
      </c>
      <c r="Q116" t="s">
        <v>123</v>
      </c>
    </row>
    <row r="117" spans="1:17" x14ac:dyDescent="0.25">
      <c r="A117" t="s">
        <v>534</v>
      </c>
      <c r="B117" t="s">
        <v>455</v>
      </c>
      <c r="C117" t="s">
        <v>539</v>
      </c>
      <c r="D117" t="s">
        <v>123</v>
      </c>
      <c r="N117">
        <f>VLOOKUP(O117,DB_PRODUCT!$D$2:$E$52,2,FALSE)</f>
        <v>34</v>
      </c>
      <c r="O117" t="s">
        <v>716</v>
      </c>
      <c r="P117" t="s">
        <v>738</v>
      </c>
      <c r="Q117" t="s">
        <v>123</v>
      </c>
    </row>
    <row r="118" spans="1:17" x14ac:dyDescent="0.25">
      <c r="A118" t="s">
        <v>534</v>
      </c>
      <c r="B118" t="s">
        <v>538</v>
      </c>
      <c r="C118" t="s">
        <v>535</v>
      </c>
      <c r="D118" t="s">
        <v>123</v>
      </c>
      <c r="N118">
        <f>VLOOKUP(O118,DB_PRODUCT!$D$2:$E$52,2,FALSE)</f>
        <v>35</v>
      </c>
      <c r="O118" t="s">
        <v>741</v>
      </c>
      <c r="P118" t="s">
        <v>741</v>
      </c>
      <c r="Q118" t="s">
        <v>118</v>
      </c>
    </row>
    <row r="119" spans="1:17" x14ac:dyDescent="0.25">
      <c r="A119" t="s">
        <v>1120</v>
      </c>
      <c r="B119" t="s">
        <v>541</v>
      </c>
      <c r="C119" t="s">
        <v>1121</v>
      </c>
      <c r="D119" t="s">
        <v>123</v>
      </c>
      <c r="N119">
        <f>VLOOKUP(O119,DB_PRODUCT!$D$2:$E$52,2,FALSE)</f>
        <v>35</v>
      </c>
      <c r="O119" t="s">
        <v>742</v>
      </c>
      <c r="P119" t="s">
        <v>743</v>
      </c>
      <c r="Q119" t="s">
        <v>118</v>
      </c>
    </row>
    <row r="120" spans="1:17" x14ac:dyDescent="0.25">
      <c r="A120" t="s">
        <v>543</v>
      </c>
      <c r="B120" t="s">
        <v>459</v>
      </c>
      <c r="C120" t="s">
        <v>544</v>
      </c>
      <c r="D120" t="s">
        <v>123</v>
      </c>
      <c r="N120">
        <f>VLOOKUP(O120,DB_PRODUCT!$D$2:$E$52,2,FALSE)</f>
        <v>36</v>
      </c>
      <c r="O120" t="s">
        <v>647</v>
      </c>
      <c r="P120" t="s">
        <v>648</v>
      </c>
      <c r="Q120" t="s">
        <v>142</v>
      </c>
    </row>
    <row r="121" spans="1:17" x14ac:dyDescent="0.25">
      <c r="A121" t="s">
        <v>543</v>
      </c>
      <c r="B121" t="s">
        <v>430</v>
      </c>
      <c r="C121" t="s">
        <v>545</v>
      </c>
      <c r="D121" t="s">
        <v>123</v>
      </c>
      <c r="N121">
        <f>VLOOKUP(O121,DB_PRODUCT!$D$2:$E$52,2,FALSE)</f>
        <v>37</v>
      </c>
      <c r="O121" t="s">
        <v>744</v>
      </c>
      <c r="P121" t="s">
        <v>744</v>
      </c>
      <c r="Q121" t="s">
        <v>118</v>
      </c>
    </row>
    <row r="122" spans="1:17" x14ac:dyDescent="0.25">
      <c r="A122" t="s">
        <v>543</v>
      </c>
      <c r="B122" t="s">
        <v>459</v>
      </c>
      <c r="C122" t="s">
        <v>1122</v>
      </c>
      <c r="D122" t="s">
        <v>123</v>
      </c>
      <c r="N122">
        <f>VLOOKUP(O122,DB_PRODUCT!$D$2:$E$52,2,FALSE)</f>
        <v>37</v>
      </c>
      <c r="O122" t="s">
        <v>744</v>
      </c>
      <c r="P122" t="s">
        <v>743</v>
      </c>
      <c r="Q122" t="s">
        <v>118</v>
      </c>
    </row>
    <row r="123" spans="1:17" x14ac:dyDescent="0.25">
      <c r="A123" t="s">
        <v>546</v>
      </c>
      <c r="B123" t="s">
        <v>547</v>
      </c>
      <c r="C123" t="s">
        <v>548</v>
      </c>
      <c r="D123" t="s">
        <v>154</v>
      </c>
      <c r="N123">
        <f>VLOOKUP(O123,DB_PRODUCT!$D$2:$E$52,2,FALSE)</f>
        <v>38</v>
      </c>
      <c r="O123" t="s">
        <v>745</v>
      </c>
      <c r="P123" t="s">
        <v>746</v>
      </c>
      <c r="Q123" t="s">
        <v>157</v>
      </c>
    </row>
    <row r="124" spans="1:17" x14ac:dyDescent="0.25">
      <c r="A124" t="s">
        <v>549</v>
      </c>
      <c r="B124" t="s">
        <v>550</v>
      </c>
      <c r="C124" t="s">
        <v>551</v>
      </c>
      <c r="D124" t="s">
        <v>123</v>
      </c>
      <c r="N124">
        <f>VLOOKUP(O124,DB_PRODUCT!$D$2:$E$52,2,FALSE)</f>
        <v>38</v>
      </c>
      <c r="O124" t="s">
        <v>745</v>
      </c>
      <c r="P124" t="s">
        <v>746</v>
      </c>
      <c r="Q124" t="s">
        <v>154</v>
      </c>
    </row>
    <row r="125" spans="1:17" x14ac:dyDescent="0.25">
      <c r="A125" t="s">
        <v>552</v>
      </c>
      <c r="B125" t="s">
        <v>553</v>
      </c>
      <c r="C125" t="s">
        <v>554</v>
      </c>
      <c r="D125" t="s">
        <v>118</v>
      </c>
      <c r="N125">
        <f>VLOOKUP(O125,DB_PRODUCT!$D$2:$E$52,2,FALSE)</f>
        <v>39</v>
      </c>
      <c r="O125" t="s">
        <v>753</v>
      </c>
      <c r="P125" t="s">
        <v>681</v>
      </c>
      <c r="Q125" t="s">
        <v>151</v>
      </c>
    </row>
    <row r="126" spans="1:17" x14ac:dyDescent="0.25">
      <c r="A126" t="s">
        <v>552</v>
      </c>
      <c r="B126" t="s">
        <v>553</v>
      </c>
      <c r="C126" t="s">
        <v>555</v>
      </c>
      <c r="D126" t="s">
        <v>118</v>
      </c>
      <c r="N126">
        <f>VLOOKUP(O126,DB_PRODUCT!$D$2:$E$52,2,FALSE)</f>
        <v>40</v>
      </c>
      <c r="O126" t="s">
        <v>501</v>
      </c>
      <c r="P126" t="s">
        <v>502</v>
      </c>
      <c r="Q126" t="s">
        <v>148</v>
      </c>
    </row>
    <row r="127" spans="1:17" x14ac:dyDescent="0.25">
      <c r="A127" t="s">
        <v>494</v>
      </c>
      <c r="B127" t="s">
        <v>495</v>
      </c>
      <c r="C127" t="s">
        <v>495</v>
      </c>
      <c r="D127" t="s">
        <v>148</v>
      </c>
      <c r="N127">
        <f>VLOOKUP(O127,DB_PRODUCT!$D$2:$E$52,2,FALSE)</f>
        <v>41</v>
      </c>
      <c r="O127" t="s">
        <v>906</v>
      </c>
      <c r="P127" t="s">
        <v>699</v>
      </c>
      <c r="Q127" t="s">
        <v>154</v>
      </c>
    </row>
    <row r="128" spans="1:17" x14ac:dyDescent="0.25">
      <c r="A128" t="s">
        <v>494</v>
      </c>
      <c r="B128" t="s">
        <v>496</v>
      </c>
      <c r="C128" t="s">
        <v>496</v>
      </c>
      <c r="D128" t="s">
        <v>148</v>
      </c>
      <c r="N128">
        <f>VLOOKUP(O128,DB_PRODUCT!$D$2:$E$52,2,FALSE)</f>
        <v>41</v>
      </c>
      <c r="O128" t="s">
        <v>906</v>
      </c>
      <c r="P128" t="s">
        <v>699</v>
      </c>
      <c r="Q128" t="s">
        <v>157</v>
      </c>
    </row>
    <row r="129" spans="1:17" x14ac:dyDescent="0.25">
      <c r="A129" t="s">
        <v>494</v>
      </c>
      <c r="B129" t="s">
        <v>495</v>
      </c>
      <c r="C129" t="s">
        <v>899</v>
      </c>
      <c r="D129" t="s">
        <v>148</v>
      </c>
      <c r="N129">
        <f>VLOOKUP(O129,DB_PRODUCT!$D$2:$E$52,2,FALSE)</f>
        <v>42</v>
      </c>
      <c r="O129" t="s">
        <v>1064</v>
      </c>
      <c r="P129" t="s">
        <v>506</v>
      </c>
      <c r="Q129" t="s">
        <v>148</v>
      </c>
    </row>
    <row r="130" spans="1:17" x14ac:dyDescent="0.25">
      <c r="A130" t="s">
        <v>494</v>
      </c>
      <c r="B130" t="s">
        <v>495</v>
      </c>
      <c r="C130" t="s">
        <v>900</v>
      </c>
      <c r="D130" t="s">
        <v>148</v>
      </c>
      <c r="N130">
        <f>VLOOKUP(O130,DB_PRODUCT!$D$2:$E$52,2,FALSE)</f>
        <v>43</v>
      </c>
      <c r="O130" t="s">
        <v>695</v>
      </c>
      <c r="P130" t="s">
        <v>696</v>
      </c>
      <c r="Q130" t="s">
        <v>148</v>
      </c>
    </row>
    <row r="131" spans="1:17" x14ac:dyDescent="0.25">
      <c r="A131" t="s">
        <v>494</v>
      </c>
      <c r="B131" t="s">
        <v>1027</v>
      </c>
      <c r="C131" t="s">
        <v>1027</v>
      </c>
      <c r="D131" t="s">
        <v>148</v>
      </c>
      <c r="N131">
        <f>VLOOKUP(O131,DB_PRODUCT!$D$2:$E$52,2,FALSE)</f>
        <v>43</v>
      </c>
      <c r="O131" t="s">
        <v>695</v>
      </c>
      <c r="P131" t="s">
        <v>695</v>
      </c>
      <c r="Q131" t="s">
        <v>118</v>
      </c>
    </row>
    <row r="132" spans="1:17" x14ac:dyDescent="0.25">
      <c r="A132" t="s">
        <v>494</v>
      </c>
      <c r="B132" t="s">
        <v>1030</v>
      </c>
      <c r="C132" t="s">
        <v>495</v>
      </c>
      <c r="D132" t="s">
        <v>148</v>
      </c>
      <c r="N132">
        <f>VLOOKUP(O132,DB_PRODUCT!$D$2:$E$52,2,FALSE)</f>
        <v>43</v>
      </c>
      <c r="O132" t="s">
        <v>695</v>
      </c>
      <c r="P132" t="s">
        <v>743</v>
      </c>
      <c r="Q132" t="s">
        <v>118</v>
      </c>
    </row>
    <row r="133" spans="1:17" x14ac:dyDescent="0.25">
      <c r="A133" t="s">
        <v>494</v>
      </c>
      <c r="B133" t="s">
        <v>495</v>
      </c>
      <c r="C133" t="s">
        <v>1128</v>
      </c>
      <c r="D133" t="s">
        <v>148</v>
      </c>
      <c r="N133">
        <f>VLOOKUP(O133,DB_PRODUCT!$D$2:$E$52,2,FALSE)</f>
        <v>44</v>
      </c>
      <c r="O133" t="s">
        <v>637</v>
      </c>
      <c r="P133" t="s">
        <v>638</v>
      </c>
      <c r="Q133" t="s">
        <v>142</v>
      </c>
    </row>
    <row r="134" spans="1:17" x14ac:dyDescent="0.25">
      <c r="A134" t="s">
        <v>560</v>
      </c>
      <c r="B134" t="s">
        <v>561</v>
      </c>
      <c r="C134" t="s">
        <v>562</v>
      </c>
      <c r="D134" t="s">
        <v>123</v>
      </c>
      <c r="N134">
        <f>VLOOKUP(O134,DB_PRODUCT!$D$2:$E$52,2,FALSE)</f>
        <v>45</v>
      </c>
      <c r="O134" t="s">
        <v>759</v>
      </c>
      <c r="P134" t="s">
        <v>760</v>
      </c>
      <c r="Q134" t="s">
        <v>154</v>
      </c>
    </row>
    <row r="135" spans="1:17" x14ac:dyDescent="0.25">
      <c r="A135" t="s">
        <v>560</v>
      </c>
      <c r="B135" t="s">
        <v>561</v>
      </c>
      <c r="C135" t="s">
        <v>563</v>
      </c>
      <c r="D135" t="s">
        <v>123</v>
      </c>
      <c r="N135">
        <f>VLOOKUP(O135,DB_PRODUCT!$D$2:$E$52,2,FALSE)</f>
        <v>45</v>
      </c>
      <c r="O135" t="s">
        <v>759</v>
      </c>
      <c r="P135" t="s">
        <v>699</v>
      </c>
      <c r="Q135" t="s">
        <v>154</v>
      </c>
    </row>
    <row r="136" spans="1:17" x14ac:dyDescent="0.25">
      <c r="A136" t="s">
        <v>560</v>
      </c>
      <c r="B136" t="s">
        <v>561</v>
      </c>
      <c r="C136" t="s">
        <v>564</v>
      </c>
      <c r="D136" t="s">
        <v>123</v>
      </c>
      <c r="N136">
        <f>VLOOKUP(O136,DB_PRODUCT!$D$2:$E$52,2,FALSE)</f>
        <v>45</v>
      </c>
      <c r="O136" t="s">
        <v>759</v>
      </c>
      <c r="P136" t="s">
        <v>766</v>
      </c>
      <c r="Q136" t="s">
        <v>154</v>
      </c>
    </row>
    <row r="137" spans="1:17" x14ac:dyDescent="0.25">
      <c r="A137" t="s">
        <v>560</v>
      </c>
      <c r="B137" t="s">
        <v>561</v>
      </c>
      <c r="C137" t="s">
        <v>565</v>
      </c>
      <c r="D137" t="s">
        <v>123</v>
      </c>
      <c r="N137">
        <f>VLOOKUP(O137,DB_PRODUCT!$D$2:$E$52,2,FALSE)</f>
        <v>45</v>
      </c>
      <c r="O137" t="s">
        <v>759</v>
      </c>
      <c r="P137" t="s">
        <v>760</v>
      </c>
      <c r="Q137" t="s">
        <v>160</v>
      </c>
    </row>
    <row r="138" spans="1:17" x14ac:dyDescent="0.25">
      <c r="A138" t="s">
        <v>560</v>
      </c>
      <c r="B138" t="s">
        <v>561</v>
      </c>
      <c r="C138" t="s">
        <v>566</v>
      </c>
      <c r="D138" t="s">
        <v>123</v>
      </c>
      <c r="N138">
        <f>VLOOKUP(O138,DB_PRODUCT!$D$2:$E$52,2,FALSE)</f>
        <v>46</v>
      </c>
      <c r="O138" t="s">
        <v>530</v>
      </c>
      <c r="P138" t="s">
        <v>531</v>
      </c>
      <c r="Q138" t="s">
        <v>118</v>
      </c>
    </row>
    <row r="139" spans="1:17" x14ac:dyDescent="0.25">
      <c r="A139" t="s">
        <v>560</v>
      </c>
      <c r="B139" t="s">
        <v>561</v>
      </c>
      <c r="C139" t="s">
        <v>567</v>
      </c>
      <c r="D139" t="s">
        <v>123</v>
      </c>
      <c r="N139">
        <f>VLOOKUP(O139,DB_PRODUCT!$D$2:$E$52,2,FALSE)</f>
        <v>46</v>
      </c>
      <c r="O139" t="s">
        <v>530</v>
      </c>
      <c r="P139" t="s">
        <v>925</v>
      </c>
      <c r="Q139" t="s">
        <v>118</v>
      </c>
    </row>
    <row r="140" spans="1:17" x14ac:dyDescent="0.25">
      <c r="A140" t="s">
        <v>560</v>
      </c>
      <c r="B140" t="s">
        <v>561</v>
      </c>
      <c r="C140" t="s">
        <v>568</v>
      </c>
      <c r="D140" t="s">
        <v>123</v>
      </c>
      <c r="N140">
        <f>VLOOKUP(O140,DB_PRODUCT!$D$2:$E$52,2,FALSE)</f>
        <v>46</v>
      </c>
      <c r="O140" t="s">
        <v>530</v>
      </c>
      <c r="P140" t="s">
        <v>888</v>
      </c>
      <c r="Q140" t="s">
        <v>118</v>
      </c>
    </row>
    <row r="141" spans="1:17" x14ac:dyDescent="0.25">
      <c r="A141" t="s">
        <v>560</v>
      </c>
      <c r="B141" t="s">
        <v>561</v>
      </c>
      <c r="C141" t="s">
        <v>569</v>
      </c>
      <c r="D141" t="s">
        <v>123</v>
      </c>
      <c r="N141">
        <f>VLOOKUP(O141,DB_PRODUCT!$D$2:$E$52,2,FALSE)</f>
        <v>47</v>
      </c>
      <c r="O141" t="s">
        <v>773</v>
      </c>
      <c r="P141" t="s">
        <v>774</v>
      </c>
      <c r="Q141" t="s">
        <v>121</v>
      </c>
    </row>
    <row r="142" spans="1:17" x14ac:dyDescent="0.25">
      <c r="A142" t="s">
        <v>560</v>
      </c>
      <c r="B142" t="s">
        <v>561</v>
      </c>
      <c r="C142" t="s">
        <v>570</v>
      </c>
      <c r="D142" t="s">
        <v>123</v>
      </c>
      <c r="N142">
        <f>VLOOKUP(O142,DB_PRODUCT!$D$2:$E$52,2,FALSE)</f>
        <v>47</v>
      </c>
      <c r="O142" t="s">
        <v>773</v>
      </c>
      <c r="P142" t="s">
        <v>774</v>
      </c>
      <c r="Q142" t="s">
        <v>1187</v>
      </c>
    </row>
    <row r="143" spans="1:17" x14ac:dyDescent="0.25">
      <c r="A143" t="s">
        <v>560</v>
      </c>
      <c r="B143" t="s">
        <v>561</v>
      </c>
      <c r="C143" t="s">
        <v>571</v>
      </c>
      <c r="D143" t="s">
        <v>123</v>
      </c>
      <c r="N143">
        <f>VLOOKUP(O143,DB_PRODUCT!$D$2:$E$52,2,FALSE)</f>
        <v>48</v>
      </c>
      <c r="O143" t="s">
        <v>776</v>
      </c>
      <c r="P143" t="s">
        <v>777</v>
      </c>
      <c r="Q143" t="s">
        <v>157</v>
      </c>
    </row>
    <row r="144" spans="1:17" x14ac:dyDescent="0.25">
      <c r="A144" t="s">
        <v>560</v>
      </c>
      <c r="B144" t="s">
        <v>561</v>
      </c>
      <c r="C144" t="s">
        <v>572</v>
      </c>
      <c r="D144" t="s">
        <v>123</v>
      </c>
      <c r="N144">
        <f>VLOOKUP(O144,DB_PRODUCT!$D$2:$E$52,2,FALSE)</f>
        <v>48</v>
      </c>
      <c r="O144" t="s">
        <v>776</v>
      </c>
      <c r="P144" t="s">
        <v>780</v>
      </c>
      <c r="Q144" t="s">
        <v>157</v>
      </c>
    </row>
    <row r="145" spans="1:17" x14ac:dyDescent="0.25">
      <c r="A145" t="s">
        <v>560</v>
      </c>
      <c r="B145" t="s">
        <v>561</v>
      </c>
      <c r="C145" t="s">
        <v>573</v>
      </c>
      <c r="D145" t="s">
        <v>123</v>
      </c>
      <c r="N145">
        <f>VLOOKUP(O145,DB_PRODUCT!$D$2:$E$52,2,FALSE)</f>
        <v>48</v>
      </c>
      <c r="O145" t="s">
        <v>776</v>
      </c>
      <c r="P145" t="s">
        <v>789</v>
      </c>
      <c r="Q145" t="s">
        <v>157</v>
      </c>
    </row>
    <row r="146" spans="1:17" x14ac:dyDescent="0.25">
      <c r="A146" t="s">
        <v>560</v>
      </c>
      <c r="B146" t="s">
        <v>561</v>
      </c>
      <c r="C146" t="s">
        <v>574</v>
      </c>
      <c r="D146" t="s">
        <v>123</v>
      </c>
      <c r="N146">
        <f>VLOOKUP(O146,DB_PRODUCT!$D$2:$E$52,2,FALSE)</f>
        <v>48</v>
      </c>
      <c r="O146" t="s">
        <v>776</v>
      </c>
      <c r="P146" t="s">
        <v>796</v>
      </c>
      <c r="Q146" t="s">
        <v>157</v>
      </c>
    </row>
    <row r="147" spans="1:17" x14ac:dyDescent="0.25">
      <c r="A147" t="s">
        <v>560</v>
      </c>
      <c r="B147" t="s">
        <v>561</v>
      </c>
      <c r="C147" t="s">
        <v>575</v>
      </c>
      <c r="D147" t="s">
        <v>123</v>
      </c>
      <c r="N147">
        <f>VLOOKUP(O147,DB_PRODUCT!$D$2:$E$52,2,FALSE)</f>
        <v>48</v>
      </c>
      <c r="O147" t="s">
        <v>776</v>
      </c>
      <c r="P147" t="s">
        <v>797</v>
      </c>
      <c r="Q147" t="s">
        <v>157</v>
      </c>
    </row>
    <row r="148" spans="1:17" x14ac:dyDescent="0.25">
      <c r="A148" t="s">
        <v>560</v>
      </c>
      <c r="B148" t="s">
        <v>561</v>
      </c>
      <c r="C148" t="s">
        <v>576</v>
      </c>
      <c r="D148" t="s">
        <v>123</v>
      </c>
      <c r="N148">
        <f>VLOOKUP(O148,DB_PRODUCT!$D$2:$E$52,2,FALSE)</f>
        <v>48</v>
      </c>
      <c r="O148" t="s">
        <v>776</v>
      </c>
      <c r="P148" t="s">
        <v>801</v>
      </c>
      <c r="Q148" t="s">
        <v>157</v>
      </c>
    </row>
    <row r="149" spans="1:17" x14ac:dyDescent="0.25">
      <c r="A149" t="s">
        <v>560</v>
      </c>
      <c r="B149" t="s">
        <v>561</v>
      </c>
      <c r="C149" t="s">
        <v>577</v>
      </c>
      <c r="D149" t="s">
        <v>123</v>
      </c>
      <c r="N149">
        <f>VLOOKUP(O149,DB_PRODUCT!$D$2:$E$52,2,FALSE)</f>
        <v>48</v>
      </c>
      <c r="O149" t="s">
        <v>776</v>
      </c>
      <c r="P149" t="s">
        <v>805</v>
      </c>
      <c r="Q149" t="s">
        <v>157</v>
      </c>
    </row>
    <row r="150" spans="1:17" x14ac:dyDescent="0.25">
      <c r="A150" t="s">
        <v>560</v>
      </c>
      <c r="B150" t="s">
        <v>561</v>
      </c>
      <c r="C150" t="s">
        <v>578</v>
      </c>
      <c r="D150" t="s">
        <v>123</v>
      </c>
      <c r="N150">
        <f>VLOOKUP(O150,DB_PRODUCT!$D$2:$E$52,2,FALSE)</f>
        <v>48</v>
      </c>
      <c r="O150" t="s">
        <v>776</v>
      </c>
      <c r="P150" t="s">
        <v>743</v>
      </c>
      <c r="Q150" t="s">
        <v>157</v>
      </c>
    </row>
    <row r="151" spans="1:17" x14ac:dyDescent="0.25">
      <c r="A151" t="s">
        <v>560</v>
      </c>
      <c r="B151" t="s">
        <v>579</v>
      </c>
      <c r="C151" t="s">
        <v>580</v>
      </c>
      <c r="D151" t="s">
        <v>121</v>
      </c>
      <c r="N151">
        <f>VLOOKUP(O151,DB_PRODUCT!$D$2:$E$52,2,FALSE)</f>
        <v>48</v>
      </c>
      <c r="O151" t="s">
        <v>776</v>
      </c>
      <c r="P151" t="s">
        <v>825</v>
      </c>
      <c r="Q151" t="s">
        <v>157</v>
      </c>
    </row>
    <row r="152" spans="1:17" x14ac:dyDescent="0.25">
      <c r="A152" t="s">
        <v>560</v>
      </c>
      <c r="B152" t="s">
        <v>581</v>
      </c>
      <c r="C152" t="s">
        <v>582</v>
      </c>
      <c r="D152" t="s">
        <v>151</v>
      </c>
      <c r="N152">
        <f>VLOOKUP(O152,DB_PRODUCT!$D$2:$E$52,2,FALSE)</f>
        <v>48</v>
      </c>
      <c r="O152" t="s">
        <v>776</v>
      </c>
      <c r="P152" t="s">
        <v>508</v>
      </c>
      <c r="Q152" t="s">
        <v>148</v>
      </c>
    </row>
    <row r="153" spans="1:17" x14ac:dyDescent="0.25">
      <c r="A153" t="s">
        <v>560</v>
      </c>
      <c r="B153" t="s">
        <v>581</v>
      </c>
      <c r="C153" t="s">
        <v>583</v>
      </c>
      <c r="D153" t="s">
        <v>151</v>
      </c>
      <c r="N153">
        <f>VLOOKUP(O153,DB_PRODUCT!$D$2:$E$52,2,FALSE)</f>
        <v>48</v>
      </c>
      <c r="O153" t="s">
        <v>776</v>
      </c>
      <c r="P153" t="s">
        <v>876</v>
      </c>
      <c r="Q153" t="s">
        <v>157</v>
      </c>
    </row>
    <row r="154" spans="1:17" x14ac:dyDescent="0.25">
      <c r="A154" t="s">
        <v>560</v>
      </c>
      <c r="B154" t="s">
        <v>584</v>
      </c>
      <c r="C154" t="s">
        <v>585</v>
      </c>
      <c r="D154" t="s">
        <v>118</v>
      </c>
      <c r="N154">
        <f>VLOOKUP(O154,DB_PRODUCT!$D$2:$E$52,2,FALSE)</f>
        <v>48</v>
      </c>
      <c r="O154" t="s">
        <v>776</v>
      </c>
      <c r="P154" t="s">
        <v>880</v>
      </c>
      <c r="Q154" t="s">
        <v>157</v>
      </c>
    </row>
    <row r="155" spans="1:17" x14ac:dyDescent="0.25">
      <c r="A155" t="s">
        <v>560</v>
      </c>
      <c r="B155" t="s">
        <v>586</v>
      </c>
      <c r="C155" t="s">
        <v>587</v>
      </c>
      <c r="D155" t="s">
        <v>121</v>
      </c>
      <c r="N155">
        <f>VLOOKUP(O155,DB_PRODUCT!$D$2:$E$52,2,FALSE)</f>
        <v>48</v>
      </c>
      <c r="O155" t="s">
        <v>776</v>
      </c>
      <c r="Q155" t="s">
        <v>148</v>
      </c>
    </row>
    <row r="156" spans="1:17" x14ac:dyDescent="0.25">
      <c r="A156" t="s">
        <v>560</v>
      </c>
      <c r="B156" t="s">
        <v>586</v>
      </c>
      <c r="C156" t="s">
        <v>588</v>
      </c>
      <c r="D156" t="s">
        <v>121</v>
      </c>
      <c r="N156">
        <f>VLOOKUP(O156,DB_PRODUCT!$D$2:$E$52,2,FALSE)</f>
        <v>48</v>
      </c>
      <c r="O156" t="s">
        <v>776</v>
      </c>
      <c r="P156" t="s">
        <v>903</v>
      </c>
      <c r="Q156" t="s">
        <v>157</v>
      </c>
    </row>
    <row r="157" spans="1:17" x14ac:dyDescent="0.25">
      <c r="A157" t="s">
        <v>560</v>
      </c>
      <c r="B157" t="s">
        <v>586</v>
      </c>
      <c r="C157" t="s">
        <v>589</v>
      </c>
      <c r="D157" t="s">
        <v>121</v>
      </c>
      <c r="N157">
        <f>VLOOKUP(O157,DB_PRODUCT!$D$2:$E$52,2,FALSE)</f>
        <v>48</v>
      </c>
      <c r="O157" t="s">
        <v>776</v>
      </c>
      <c r="Q157" t="s">
        <v>157</v>
      </c>
    </row>
    <row r="158" spans="1:17" x14ac:dyDescent="0.25">
      <c r="A158" t="s">
        <v>560</v>
      </c>
      <c r="B158" t="s">
        <v>586</v>
      </c>
      <c r="C158" t="s">
        <v>590</v>
      </c>
      <c r="D158" t="s">
        <v>121</v>
      </c>
      <c r="N158">
        <f>VLOOKUP(O158,DB_PRODUCT!$D$2:$E$52,2,FALSE)</f>
        <v>48</v>
      </c>
      <c r="O158" t="s">
        <v>776</v>
      </c>
      <c r="P158" t="s">
        <v>743</v>
      </c>
      <c r="Q158" t="s">
        <v>118</v>
      </c>
    </row>
    <row r="159" spans="1:17" x14ac:dyDescent="0.25">
      <c r="A159" t="s">
        <v>560</v>
      </c>
      <c r="B159" t="s">
        <v>586</v>
      </c>
      <c r="C159" t="s">
        <v>591</v>
      </c>
      <c r="D159" t="s">
        <v>121</v>
      </c>
      <c r="N159">
        <f>VLOOKUP(O159,DB_PRODUCT!$D$2:$E$52,2,FALSE)</f>
        <v>48</v>
      </c>
      <c r="O159" t="s">
        <v>776</v>
      </c>
      <c r="P159" t="s">
        <v>777</v>
      </c>
      <c r="Q159" t="s">
        <v>121</v>
      </c>
    </row>
    <row r="160" spans="1:17" x14ac:dyDescent="0.25">
      <c r="A160" t="s">
        <v>560</v>
      </c>
      <c r="B160" t="s">
        <v>586</v>
      </c>
      <c r="C160" t="s">
        <v>593</v>
      </c>
      <c r="D160" t="s">
        <v>121</v>
      </c>
      <c r="N160">
        <f>VLOOKUP(O160,DB_PRODUCT!$D$2:$E$52,2,FALSE)</f>
        <v>48</v>
      </c>
      <c r="O160" t="s">
        <v>776</v>
      </c>
      <c r="P160" t="s">
        <v>962</v>
      </c>
      <c r="Q160" t="s">
        <v>157</v>
      </c>
    </row>
    <row r="161" spans="1:17" x14ac:dyDescent="0.25">
      <c r="A161" t="s">
        <v>560</v>
      </c>
      <c r="B161" t="s">
        <v>586</v>
      </c>
      <c r="C161" t="s">
        <v>594</v>
      </c>
      <c r="D161" t="s">
        <v>121</v>
      </c>
      <c r="N161">
        <f>VLOOKUP(O161,DB_PRODUCT!$D$2:$E$52,2,FALSE)</f>
        <v>48</v>
      </c>
      <c r="O161" t="s">
        <v>776</v>
      </c>
      <c r="P161" t="s">
        <v>964</v>
      </c>
      <c r="Q161" t="s">
        <v>157</v>
      </c>
    </row>
    <row r="162" spans="1:17" x14ac:dyDescent="0.25">
      <c r="A162" t="s">
        <v>560</v>
      </c>
      <c r="B162" t="s">
        <v>584</v>
      </c>
      <c r="C162" t="s">
        <v>595</v>
      </c>
      <c r="D162" t="s">
        <v>118</v>
      </c>
      <c r="N162">
        <f>VLOOKUP(O162,DB_PRODUCT!$D$2:$E$52,2,FALSE)</f>
        <v>48</v>
      </c>
      <c r="O162" t="s">
        <v>776</v>
      </c>
      <c r="P162" t="s">
        <v>796</v>
      </c>
      <c r="Q162" t="s">
        <v>118</v>
      </c>
    </row>
    <row r="163" spans="1:17" x14ac:dyDescent="0.25">
      <c r="A163" t="s">
        <v>560</v>
      </c>
      <c r="B163" t="s">
        <v>600</v>
      </c>
      <c r="C163" t="s">
        <v>601</v>
      </c>
      <c r="D163" t="s">
        <v>142</v>
      </c>
      <c r="N163">
        <f>VLOOKUP(O163,DB_PRODUCT!$D$2:$E$52,2,FALSE)</f>
        <v>48</v>
      </c>
      <c r="O163" t="s">
        <v>776</v>
      </c>
      <c r="P163" t="s">
        <v>776</v>
      </c>
      <c r="Q163" t="s">
        <v>157</v>
      </c>
    </row>
    <row r="164" spans="1:17" x14ac:dyDescent="0.25">
      <c r="A164" t="s">
        <v>560</v>
      </c>
      <c r="B164" t="s">
        <v>600</v>
      </c>
      <c r="C164" t="s">
        <v>602</v>
      </c>
      <c r="D164" t="s">
        <v>121</v>
      </c>
      <c r="N164">
        <f>VLOOKUP(O164,DB_PRODUCT!$D$2:$E$52,2,FALSE)</f>
        <v>48</v>
      </c>
      <c r="O164" t="s">
        <v>776</v>
      </c>
      <c r="P164" t="s">
        <v>780</v>
      </c>
      <c r="Q164" t="s">
        <v>154</v>
      </c>
    </row>
    <row r="165" spans="1:17" x14ac:dyDescent="0.25">
      <c r="A165" t="s">
        <v>560</v>
      </c>
      <c r="B165" t="s">
        <v>603</v>
      </c>
      <c r="C165" t="s">
        <v>604</v>
      </c>
      <c r="D165" t="s">
        <v>121</v>
      </c>
      <c r="N165">
        <f>VLOOKUP(O165,DB_PRODUCT!$D$2:$E$52,2,FALSE)</f>
        <v>48</v>
      </c>
      <c r="O165" t="s">
        <v>776</v>
      </c>
      <c r="P165" t="s">
        <v>1044</v>
      </c>
      <c r="Q165" t="s">
        <v>157</v>
      </c>
    </row>
    <row r="166" spans="1:17" x14ac:dyDescent="0.25">
      <c r="A166" t="s">
        <v>560</v>
      </c>
      <c r="B166" t="s">
        <v>581</v>
      </c>
      <c r="C166" t="s">
        <v>605</v>
      </c>
      <c r="D166" t="s">
        <v>151</v>
      </c>
      <c r="N166">
        <f>VLOOKUP(O166,DB_PRODUCT!$D$2:$E$52,2,FALSE)</f>
        <v>48</v>
      </c>
      <c r="O166" t="s">
        <v>776</v>
      </c>
      <c r="P166" t="s">
        <v>1045</v>
      </c>
      <c r="Q166" t="s">
        <v>157</v>
      </c>
    </row>
    <row r="167" spans="1:17" x14ac:dyDescent="0.25">
      <c r="A167" t="s">
        <v>560</v>
      </c>
      <c r="B167" t="s">
        <v>581</v>
      </c>
      <c r="C167" t="s">
        <v>606</v>
      </c>
      <c r="D167" t="s">
        <v>151</v>
      </c>
      <c r="N167">
        <f>VLOOKUP(O167,DB_PRODUCT!$D$2:$E$52,2,FALSE)</f>
        <v>48</v>
      </c>
      <c r="O167" t="s">
        <v>776</v>
      </c>
      <c r="P167" t="s">
        <v>1058</v>
      </c>
      <c r="Q167" t="s">
        <v>157</v>
      </c>
    </row>
    <row r="168" spans="1:17" x14ac:dyDescent="0.25">
      <c r="A168" t="s">
        <v>560</v>
      </c>
      <c r="B168" t="s">
        <v>600</v>
      </c>
      <c r="C168" t="s">
        <v>607</v>
      </c>
      <c r="D168" t="s">
        <v>142</v>
      </c>
      <c r="N168">
        <f>VLOOKUP(O168,DB_PRODUCT!$D$2:$E$52,2,FALSE)</f>
        <v>48</v>
      </c>
      <c r="O168" t="s">
        <v>776</v>
      </c>
      <c r="P168" t="s">
        <v>1138</v>
      </c>
      <c r="Q168" t="s">
        <v>157</v>
      </c>
    </row>
    <row r="169" spans="1:17" x14ac:dyDescent="0.25">
      <c r="A169" t="s">
        <v>560</v>
      </c>
      <c r="B169" t="s">
        <v>600</v>
      </c>
      <c r="C169" t="s">
        <v>608</v>
      </c>
      <c r="D169" t="s">
        <v>142</v>
      </c>
      <c r="N169">
        <f>VLOOKUP(O169,DB_PRODUCT!$D$2:$E$52,2,FALSE)</f>
        <v>48</v>
      </c>
      <c r="O169" t="s">
        <v>776</v>
      </c>
      <c r="P169" t="s">
        <v>1150</v>
      </c>
      <c r="Q169" t="s">
        <v>157</v>
      </c>
    </row>
    <row r="170" spans="1:17" x14ac:dyDescent="0.25">
      <c r="A170" t="s">
        <v>560</v>
      </c>
      <c r="B170" t="s">
        <v>586</v>
      </c>
      <c r="C170" t="s">
        <v>609</v>
      </c>
      <c r="D170" t="s">
        <v>121</v>
      </c>
      <c r="N170">
        <f>VLOOKUP(O170,DB_PRODUCT!$D$2:$E$52,2,FALSE)</f>
        <v>48</v>
      </c>
      <c r="O170" t="s">
        <v>776</v>
      </c>
      <c r="P170" t="s">
        <v>1151</v>
      </c>
      <c r="Q170" t="s">
        <v>157</v>
      </c>
    </row>
    <row r="171" spans="1:17" x14ac:dyDescent="0.25">
      <c r="A171" t="s">
        <v>560</v>
      </c>
      <c r="B171" t="s">
        <v>586</v>
      </c>
      <c r="C171" t="s">
        <v>610</v>
      </c>
      <c r="D171" t="s">
        <v>121</v>
      </c>
      <c r="N171">
        <f>VLOOKUP(O171,DB_PRODUCT!$D$2:$E$52,2,FALSE)</f>
        <v>48</v>
      </c>
      <c r="O171" t="s">
        <v>776</v>
      </c>
      <c r="P171" t="s">
        <v>1161</v>
      </c>
      <c r="Q171" t="s">
        <v>157</v>
      </c>
    </row>
    <row r="172" spans="1:17" x14ac:dyDescent="0.25">
      <c r="A172" t="s">
        <v>560</v>
      </c>
      <c r="B172" t="s">
        <v>586</v>
      </c>
      <c r="C172" t="s">
        <v>611</v>
      </c>
      <c r="D172" t="s">
        <v>121</v>
      </c>
      <c r="N172">
        <f>VLOOKUP(O172,DB_PRODUCT!$D$2:$E$52,2,FALSE)</f>
        <v>48</v>
      </c>
      <c r="O172" t="s">
        <v>776</v>
      </c>
      <c r="P172" t="s">
        <v>1169</v>
      </c>
      <c r="Q172" t="s">
        <v>157</v>
      </c>
    </row>
    <row r="173" spans="1:17" x14ac:dyDescent="0.25">
      <c r="A173" t="s">
        <v>560</v>
      </c>
      <c r="B173" t="s">
        <v>600</v>
      </c>
      <c r="C173" t="s">
        <v>612</v>
      </c>
      <c r="D173" t="s">
        <v>142</v>
      </c>
      <c r="N173">
        <f>VLOOKUP(O173,DB_PRODUCT!$D$2:$E$52,2,FALSE)</f>
        <v>48</v>
      </c>
      <c r="O173" t="s">
        <v>776</v>
      </c>
      <c r="P173" t="s">
        <v>1175</v>
      </c>
      <c r="Q173" t="s">
        <v>157</v>
      </c>
    </row>
    <row r="174" spans="1:17" x14ac:dyDescent="0.25">
      <c r="A174" t="s">
        <v>560</v>
      </c>
      <c r="B174" t="s">
        <v>581</v>
      </c>
      <c r="C174" t="s">
        <v>613</v>
      </c>
      <c r="D174" t="s">
        <v>151</v>
      </c>
      <c r="N174">
        <f>VLOOKUP(O174,DB_PRODUCT!$D$2:$E$52,2,FALSE)</f>
        <v>48</v>
      </c>
      <c r="O174" t="s">
        <v>776</v>
      </c>
      <c r="P174" t="s">
        <v>1176</v>
      </c>
      <c r="Q174" t="s">
        <v>157</v>
      </c>
    </row>
    <row r="175" spans="1:17" x14ac:dyDescent="0.25">
      <c r="A175" t="s">
        <v>560</v>
      </c>
      <c r="B175" t="s">
        <v>586</v>
      </c>
      <c r="C175" t="s">
        <v>614</v>
      </c>
      <c r="D175" t="s">
        <v>121</v>
      </c>
      <c r="N175">
        <f>VLOOKUP(O175,DB_PRODUCT!$D$2:$E$52,2,FALSE)</f>
        <v>48</v>
      </c>
      <c r="O175" t="s">
        <v>776</v>
      </c>
      <c r="P175" t="s">
        <v>1177</v>
      </c>
      <c r="Q175" t="s">
        <v>157</v>
      </c>
    </row>
    <row r="176" spans="1:17" x14ac:dyDescent="0.25">
      <c r="A176" t="s">
        <v>560</v>
      </c>
      <c r="B176" t="s">
        <v>600</v>
      </c>
      <c r="C176" t="s">
        <v>615</v>
      </c>
      <c r="D176" t="s">
        <v>142</v>
      </c>
      <c r="N176">
        <f>VLOOKUP(O176,DB_PRODUCT!$D$2:$E$52,2,FALSE)</f>
        <v>48</v>
      </c>
      <c r="O176" t="s">
        <v>993</v>
      </c>
      <c r="P176" t="s">
        <v>1181</v>
      </c>
      <c r="Q176" t="s">
        <v>148</v>
      </c>
    </row>
    <row r="177" spans="1:17" x14ac:dyDescent="0.25">
      <c r="A177" t="s">
        <v>560</v>
      </c>
      <c r="B177" t="s">
        <v>586</v>
      </c>
      <c r="C177" t="s">
        <v>616</v>
      </c>
      <c r="D177" t="s">
        <v>121</v>
      </c>
      <c r="N177">
        <f>VLOOKUP(O177,DB_PRODUCT!$D$2:$E$52,2,FALSE)</f>
        <v>49</v>
      </c>
      <c r="O177" t="s">
        <v>515</v>
      </c>
      <c r="P177" t="s">
        <v>513</v>
      </c>
      <c r="Q177" t="s">
        <v>142</v>
      </c>
    </row>
    <row r="178" spans="1:17" x14ac:dyDescent="0.25">
      <c r="A178" t="s">
        <v>560</v>
      </c>
      <c r="B178" t="s">
        <v>600</v>
      </c>
      <c r="C178" t="s">
        <v>617</v>
      </c>
      <c r="D178" t="s">
        <v>142</v>
      </c>
      <c r="N178">
        <f>VLOOKUP(O178,DB_PRODUCT!$D$2:$E$52,2,FALSE)</f>
        <v>50</v>
      </c>
      <c r="O178" t="s">
        <v>817</v>
      </c>
      <c r="P178" t="s">
        <v>818</v>
      </c>
      <c r="Q178" t="s">
        <v>142</v>
      </c>
    </row>
    <row r="179" spans="1:17" x14ac:dyDescent="0.25">
      <c r="A179" t="s">
        <v>560</v>
      </c>
      <c r="B179" t="s">
        <v>586</v>
      </c>
      <c r="C179" t="s">
        <v>618</v>
      </c>
      <c r="D179" t="s">
        <v>121</v>
      </c>
      <c r="N179">
        <f>VLOOKUP(O179,DB_PRODUCT!$D$2:$E$52,2,FALSE)</f>
        <v>50</v>
      </c>
      <c r="O179" t="s">
        <v>817</v>
      </c>
      <c r="P179" t="s">
        <v>842</v>
      </c>
      <c r="Q179" t="s">
        <v>142</v>
      </c>
    </row>
    <row r="180" spans="1:17" x14ac:dyDescent="0.25">
      <c r="A180" t="s">
        <v>560</v>
      </c>
      <c r="B180" t="s">
        <v>586</v>
      </c>
      <c r="C180" t="s">
        <v>464</v>
      </c>
      <c r="D180" t="s">
        <v>121</v>
      </c>
      <c r="N180">
        <f>VLOOKUP(O180,DB_PRODUCT!$D$2:$E$52,2,FALSE)</f>
        <v>50</v>
      </c>
      <c r="O180" t="s">
        <v>817</v>
      </c>
      <c r="P180" t="s">
        <v>1095</v>
      </c>
      <c r="Q180" t="s">
        <v>142</v>
      </c>
    </row>
    <row r="181" spans="1:17" x14ac:dyDescent="0.25">
      <c r="A181" t="s">
        <v>560</v>
      </c>
      <c r="B181" t="s">
        <v>581</v>
      </c>
      <c r="C181" t="s">
        <v>619</v>
      </c>
      <c r="D181" t="s">
        <v>151</v>
      </c>
    </row>
    <row r="182" spans="1:17" x14ac:dyDescent="0.25">
      <c r="A182" t="s">
        <v>560</v>
      </c>
      <c r="B182" t="s">
        <v>579</v>
      </c>
      <c r="C182" t="s">
        <v>620</v>
      </c>
      <c r="D182" t="s">
        <v>121</v>
      </c>
    </row>
    <row r="183" spans="1:17" x14ac:dyDescent="0.25">
      <c r="A183" t="s">
        <v>560</v>
      </c>
      <c r="B183" t="s">
        <v>584</v>
      </c>
      <c r="C183" t="s">
        <v>621</v>
      </c>
      <c r="D183" t="s">
        <v>118</v>
      </c>
    </row>
    <row r="184" spans="1:17" x14ac:dyDescent="0.25">
      <c r="A184" t="s">
        <v>560</v>
      </c>
      <c r="B184" t="s">
        <v>581</v>
      </c>
      <c r="C184" t="s">
        <v>622</v>
      </c>
      <c r="D184" t="s">
        <v>151</v>
      </c>
    </row>
    <row r="185" spans="1:17" x14ac:dyDescent="0.25">
      <c r="A185" t="s">
        <v>560</v>
      </c>
      <c r="B185" t="s">
        <v>581</v>
      </c>
      <c r="C185" t="s">
        <v>623</v>
      </c>
      <c r="D185" t="s">
        <v>151</v>
      </c>
    </row>
    <row r="186" spans="1:17" x14ac:dyDescent="0.25">
      <c r="A186" t="s">
        <v>560</v>
      </c>
      <c r="B186" t="s">
        <v>600</v>
      </c>
      <c r="C186" t="s">
        <v>624</v>
      </c>
      <c r="D186" t="s">
        <v>142</v>
      </c>
    </row>
    <row r="187" spans="1:17" x14ac:dyDescent="0.25">
      <c r="A187" t="s">
        <v>560</v>
      </c>
      <c r="B187" t="s">
        <v>581</v>
      </c>
      <c r="C187" t="s">
        <v>625</v>
      </c>
      <c r="D187" t="s">
        <v>151</v>
      </c>
    </row>
    <row r="188" spans="1:17" x14ac:dyDescent="0.25">
      <c r="A188" t="s">
        <v>560</v>
      </c>
      <c r="B188" t="s">
        <v>600</v>
      </c>
      <c r="C188" t="s">
        <v>626</v>
      </c>
      <c r="D188" t="s">
        <v>142</v>
      </c>
    </row>
    <row r="189" spans="1:17" x14ac:dyDescent="0.25">
      <c r="A189" t="s">
        <v>560</v>
      </c>
      <c r="B189" t="s">
        <v>600</v>
      </c>
      <c r="C189" t="s">
        <v>627</v>
      </c>
      <c r="D189" t="s">
        <v>142</v>
      </c>
    </row>
    <row r="190" spans="1:17" x14ac:dyDescent="0.25">
      <c r="A190" t="s">
        <v>560</v>
      </c>
      <c r="B190" t="s">
        <v>600</v>
      </c>
      <c r="C190" t="s">
        <v>628</v>
      </c>
      <c r="D190" t="s">
        <v>142</v>
      </c>
    </row>
    <row r="191" spans="1:17" x14ac:dyDescent="0.25">
      <c r="A191" t="s">
        <v>560</v>
      </c>
      <c r="B191" t="s">
        <v>584</v>
      </c>
      <c r="C191" t="s">
        <v>629</v>
      </c>
      <c r="D191" t="s">
        <v>118</v>
      </c>
    </row>
    <row r="192" spans="1:17" x14ac:dyDescent="0.25">
      <c r="A192" t="s">
        <v>560</v>
      </c>
      <c r="B192" t="s">
        <v>584</v>
      </c>
      <c r="C192" t="s">
        <v>630</v>
      </c>
      <c r="D192" t="s">
        <v>118</v>
      </c>
    </row>
    <row r="193" spans="1:4" x14ac:dyDescent="0.25">
      <c r="A193" t="s">
        <v>560</v>
      </c>
      <c r="B193" t="s">
        <v>600</v>
      </c>
      <c r="C193" t="s">
        <v>631</v>
      </c>
      <c r="D193" t="s">
        <v>142</v>
      </c>
    </row>
    <row r="194" spans="1:4" x14ac:dyDescent="0.25">
      <c r="A194" t="s">
        <v>560</v>
      </c>
      <c r="B194" t="s">
        <v>600</v>
      </c>
      <c r="C194" t="s">
        <v>632</v>
      </c>
      <c r="D194" t="s">
        <v>142</v>
      </c>
    </row>
    <row r="195" spans="1:4" x14ac:dyDescent="0.25">
      <c r="A195" t="s">
        <v>560</v>
      </c>
      <c r="B195" t="s">
        <v>581</v>
      </c>
      <c r="C195" t="s">
        <v>633</v>
      </c>
      <c r="D195" t="s">
        <v>151</v>
      </c>
    </row>
    <row r="196" spans="1:4" x14ac:dyDescent="0.25">
      <c r="A196" t="s">
        <v>560</v>
      </c>
      <c r="B196" t="s">
        <v>600</v>
      </c>
      <c r="C196" t="s">
        <v>634</v>
      </c>
      <c r="D196" t="s">
        <v>142</v>
      </c>
    </row>
    <row r="197" spans="1:4" x14ac:dyDescent="0.25">
      <c r="A197" t="s">
        <v>560</v>
      </c>
      <c r="B197" t="s">
        <v>600</v>
      </c>
      <c r="C197" t="s">
        <v>635</v>
      </c>
      <c r="D197" t="s">
        <v>142</v>
      </c>
    </row>
    <row r="198" spans="1:4" x14ac:dyDescent="0.25">
      <c r="A198" t="s">
        <v>560</v>
      </c>
      <c r="B198" t="s">
        <v>600</v>
      </c>
      <c r="C198" t="s">
        <v>636</v>
      </c>
      <c r="D198" t="s">
        <v>142</v>
      </c>
    </row>
    <row r="199" spans="1:4" x14ac:dyDescent="0.25">
      <c r="A199" t="s">
        <v>560</v>
      </c>
      <c r="B199" t="s">
        <v>600</v>
      </c>
      <c r="C199" t="s">
        <v>641</v>
      </c>
      <c r="D199" t="s">
        <v>142</v>
      </c>
    </row>
    <row r="200" spans="1:4" x14ac:dyDescent="0.25">
      <c r="A200" t="s">
        <v>560</v>
      </c>
      <c r="B200" t="s">
        <v>600</v>
      </c>
      <c r="C200" t="s">
        <v>642</v>
      </c>
      <c r="D200" t="s">
        <v>142</v>
      </c>
    </row>
    <row r="201" spans="1:4" x14ac:dyDescent="0.25">
      <c r="A201" t="s">
        <v>560</v>
      </c>
      <c r="B201" t="s">
        <v>581</v>
      </c>
      <c r="C201" t="s">
        <v>643</v>
      </c>
      <c r="D201" t="s">
        <v>151</v>
      </c>
    </row>
    <row r="202" spans="1:4" x14ac:dyDescent="0.25">
      <c r="A202" t="s">
        <v>560</v>
      </c>
      <c r="B202" t="s">
        <v>600</v>
      </c>
      <c r="C202" t="s">
        <v>644</v>
      </c>
      <c r="D202" t="s">
        <v>142</v>
      </c>
    </row>
    <row r="203" spans="1:4" x14ac:dyDescent="0.25">
      <c r="A203" t="s">
        <v>560</v>
      </c>
      <c r="B203" t="s">
        <v>600</v>
      </c>
      <c r="C203" t="s">
        <v>645</v>
      </c>
      <c r="D203" t="s">
        <v>142</v>
      </c>
    </row>
    <row r="204" spans="1:4" x14ac:dyDescent="0.25">
      <c r="A204" t="s">
        <v>560</v>
      </c>
      <c r="B204" t="s">
        <v>600</v>
      </c>
      <c r="C204" t="s">
        <v>646</v>
      </c>
      <c r="D204" t="s">
        <v>142</v>
      </c>
    </row>
    <row r="205" spans="1:4" x14ac:dyDescent="0.25">
      <c r="A205" t="s">
        <v>560</v>
      </c>
      <c r="B205" t="s">
        <v>581</v>
      </c>
      <c r="C205" t="s">
        <v>649</v>
      </c>
      <c r="D205" t="s">
        <v>151</v>
      </c>
    </row>
    <row r="206" spans="1:4" x14ac:dyDescent="0.25">
      <c r="A206" t="s">
        <v>560</v>
      </c>
      <c r="B206" t="s">
        <v>581</v>
      </c>
      <c r="C206" t="s">
        <v>650</v>
      </c>
      <c r="D206" t="s">
        <v>151</v>
      </c>
    </row>
    <row r="207" spans="1:4" x14ac:dyDescent="0.25">
      <c r="A207" t="s">
        <v>560</v>
      </c>
      <c r="B207" t="s">
        <v>581</v>
      </c>
      <c r="C207" t="s">
        <v>651</v>
      </c>
      <c r="D207" t="s">
        <v>151</v>
      </c>
    </row>
    <row r="208" spans="1:4" x14ac:dyDescent="0.25">
      <c r="A208" t="s">
        <v>560</v>
      </c>
      <c r="B208" t="s">
        <v>581</v>
      </c>
      <c r="C208" t="s">
        <v>652</v>
      </c>
      <c r="D208" t="s">
        <v>151</v>
      </c>
    </row>
    <row r="209" spans="1:4" x14ac:dyDescent="0.25">
      <c r="A209" t="s">
        <v>560</v>
      </c>
      <c r="B209" t="s">
        <v>581</v>
      </c>
      <c r="C209" t="s">
        <v>653</v>
      </c>
      <c r="D209" t="s">
        <v>151</v>
      </c>
    </row>
    <row r="210" spans="1:4" x14ac:dyDescent="0.25">
      <c r="A210" t="s">
        <v>560</v>
      </c>
      <c r="B210" t="s">
        <v>586</v>
      </c>
      <c r="C210" t="s">
        <v>654</v>
      </c>
      <c r="D210" t="s">
        <v>121</v>
      </c>
    </row>
    <row r="211" spans="1:4" x14ac:dyDescent="0.25">
      <c r="A211" t="s">
        <v>560</v>
      </c>
      <c r="B211" t="s">
        <v>581</v>
      </c>
      <c r="C211" t="s">
        <v>655</v>
      </c>
      <c r="D211" t="s">
        <v>151</v>
      </c>
    </row>
    <row r="212" spans="1:4" x14ac:dyDescent="0.25">
      <c r="A212" t="s">
        <v>560</v>
      </c>
      <c r="B212" t="s">
        <v>581</v>
      </c>
      <c r="C212" t="s">
        <v>656</v>
      </c>
      <c r="D212" t="s">
        <v>151</v>
      </c>
    </row>
    <row r="213" spans="1:4" x14ac:dyDescent="0.25">
      <c r="A213" t="s">
        <v>560</v>
      </c>
      <c r="B213" t="s">
        <v>581</v>
      </c>
      <c r="C213" t="s">
        <v>657</v>
      </c>
      <c r="D213" t="s">
        <v>151</v>
      </c>
    </row>
    <row r="214" spans="1:4" x14ac:dyDescent="0.25">
      <c r="A214" t="s">
        <v>560</v>
      </c>
      <c r="B214" t="s">
        <v>581</v>
      </c>
      <c r="C214" t="s">
        <v>658</v>
      </c>
      <c r="D214" t="s">
        <v>151</v>
      </c>
    </row>
    <row r="215" spans="1:4" x14ac:dyDescent="0.25">
      <c r="A215" t="s">
        <v>560</v>
      </c>
      <c r="B215" t="s">
        <v>581</v>
      </c>
      <c r="C215" t="s">
        <v>659</v>
      </c>
      <c r="D215" t="s">
        <v>151</v>
      </c>
    </row>
    <row r="216" spans="1:4" x14ac:dyDescent="0.25">
      <c r="A216" t="s">
        <v>560</v>
      </c>
      <c r="B216" t="s">
        <v>581</v>
      </c>
      <c r="C216" t="s">
        <v>660</v>
      </c>
      <c r="D216" t="s">
        <v>151</v>
      </c>
    </row>
    <row r="217" spans="1:4" x14ac:dyDescent="0.25">
      <c r="A217" t="s">
        <v>560</v>
      </c>
      <c r="B217" t="s">
        <v>581</v>
      </c>
      <c r="C217" t="s">
        <v>661</v>
      </c>
      <c r="D217" t="s">
        <v>151</v>
      </c>
    </row>
    <row r="218" spans="1:4" x14ac:dyDescent="0.25">
      <c r="A218" t="s">
        <v>560</v>
      </c>
      <c r="B218" t="s">
        <v>603</v>
      </c>
      <c r="C218" t="s">
        <v>664</v>
      </c>
      <c r="D218" t="s">
        <v>121</v>
      </c>
    </row>
    <row r="219" spans="1:4" x14ac:dyDescent="0.25">
      <c r="A219" t="s">
        <v>560</v>
      </c>
      <c r="B219" t="s">
        <v>586</v>
      </c>
      <c r="C219" t="s">
        <v>665</v>
      </c>
      <c r="D219" t="s">
        <v>121</v>
      </c>
    </row>
    <row r="220" spans="1:4" x14ac:dyDescent="0.25">
      <c r="A220" t="s">
        <v>560</v>
      </c>
      <c r="B220" t="s">
        <v>586</v>
      </c>
      <c r="C220" t="s">
        <v>666</v>
      </c>
      <c r="D220" t="s">
        <v>121</v>
      </c>
    </row>
    <row r="221" spans="1:4" x14ac:dyDescent="0.25">
      <c r="A221" t="s">
        <v>560</v>
      </c>
      <c r="B221" t="s">
        <v>586</v>
      </c>
      <c r="C221" t="s">
        <v>667</v>
      </c>
      <c r="D221" t="s">
        <v>121</v>
      </c>
    </row>
    <row r="222" spans="1:4" x14ac:dyDescent="0.25">
      <c r="A222" t="s">
        <v>560</v>
      </c>
      <c r="B222" t="s">
        <v>668</v>
      </c>
      <c r="C222" t="s">
        <v>464</v>
      </c>
      <c r="D222" t="s">
        <v>121</v>
      </c>
    </row>
    <row r="223" spans="1:4" x14ac:dyDescent="0.25">
      <c r="A223" t="s">
        <v>560</v>
      </c>
      <c r="B223" t="s">
        <v>586</v>
      </c>
      <c r="C223" t="s">
        <v>669</v>
      </c>
      <c r="D223" t="s">
        <v>121</v>
      </c>
    </row>
    <row r="224" spans="1:4" x14ac:dyDescent="0.25">
      <c r="A224" t="s">
        <v>560</v>
      </c>
      <c r="B224" t="s">
        <v>586</v>
      </c>
      <c r="C224" t="s">
        <v>670</v>
      </c>
      <c r="D224" t="s">
        <v>121</v>
      </c>
    </row>
    <row r="225" spans="1:4" x14ac:dyDescent="0.25">
      <c r="A225" t="s">
        <v>560</v>
      </c>
      <c r="B225" t="s">
        <v>586</v>
      </c>
      <c r="C225" t="s">
        <v>671</v>
      </c>
      <c r="D225" t="s">
        <v>121</v>
      </c>
    </row>
    <row r="226" spans="1:4" x14ac:dyDescent="0.25">
      <c r="A226" t="s">
        <v>560</v>
      </c>
      <c r="B226" t="s">
        <v>586</v>
      </c>
      <c r="C226" t="s">
        <v>672</v>
      </c>
      <c r="D226" t="s">
        <v>121</v>
      </c>
    </row>
    <row r="227" spans="1:4" x14ac:dyDescent="0.25">
      <c r="A227" t="s">
        <v>560</v>
      </c>
      <c r="B227" t="s">
        <v>579</v>
      </c>
      <c r="C227" t="s">
        <v>673</v>
      </c>
      <c r="D227" t="s">
        <v>121</v>
      </c>
    </row>
    <row r="228" spans="1:4" x14ac:dyDescent="0.25">
      <c r="A228" t="s">
        <v>560</v>
      </c>
      <c r="B228" t="s">
        <v>579</v>
      </c>
      <c r="C228" t="s">
        <v>674</v>
      </c>
      <c r="D228" t="s">
        <v>121</v>
      </c>
    </row>
    <row r="229" spans="1:4" x14ac:dyDescent="0.25">
      <c r="A229" t="s">
        <v>560</v>
      </c>
      <c r="B229" t="s">
        <v>579</v>
      </c>
      <c r="C229" t="s">
        <v>464</v>
      </c>
      <c r="D229" t="s">
        <v>121</v>
      </c>
    </row>
    <row r="230" spans="1:4" x14ac:dyDescent="0.25">
      <c r="A230" t="s">
        <v>560</v>
      </c>
      <c r="B230" t="s">
        <v>603</v>
      </c>
      <c r="C230" t="s">
        <v>675</v>
      </c>
      <c r="D230" t="s">
        <v>121</v>
      </c>
    </row>
    <row r="231" spans="1:4" x14ac:dyDescent="0.25">
      <c r="A231" t="s">
        <v>560</v>
      </c>
      <c r="B231" t="s">
        <v>603</v>
      </c>
      <c r="C231" t="s">
        <v>676</v>
      </c>
      <c r="D231" t="s">
        <v>121</v>
      </c>
    </row>
    <row r="232" spans="1:4" x14ac:dyDescent="0.25">
      <c r="A232" t="s">
        <v>560</v>
      </c>
      <c r="B232" t="s">
        <v>603</v>
      </c>
      <c r="C232" t="s">
        <v>677</v>
      </c>
      <c r="D232" t="s">
        <v>121</v>
      </c>
    </row>
    <row r="233" spans="1:4" x14ac:dyDescent="0.25">
      <c r="A233" t="s">
        <v>560</v>
      </c>
      <c r="B233" t="s">
        <v>603</v>
      </c>
      <c r="C233" t="s">
        <v>464</v>
      </c>
      <c r="D233" t="s">
        <v>121</v>
      </c>
    </row>
    <row r="234" spans="1:4" x14ac:dyDescent="0.25">
      <c r="A234" t="s">
        <v>560</v>
      </c>
      <c r="B234" t="s">
        <v>581</v>
      </c>
      <c r="C234" t="s">
        <v>678</v>
      </c>
      <c r="D234" t="s">
        <v>151</v>
      </c>
    </row>
    <row r="235" spans="1:4" x14ac:dyDescent="0.25">
      <c r="A235" t="s">
        <v>560</v>
      </c>
      <c r="B235" t="s">
        <v>581</v>
      </c>
      <c r="C235" t="s">
        <v>679</v>
      </c>
      <c r="D235" t="s">
        <v>151</v>
      </c>
    </row>
    <row r="236" spans="1:4" x14ac:dyDescent="0.25">
      <c r="A236" t="s">
        <v>560</v>
      </c>
      <c r="B236" t="s">
        <v>579</v>
      </c>
      <c r="C236" t="s">
        <v>580</v>
      </c>
      <c r="D236" t="s">
        <v>816</v>
      </c>
    </row>
    <row r="237" spans="1:4" x14ac:dyDescent="0.25">
      <c r="A237" t="s">
        <v>560</v>
      </c>
      <c r="B237" t="s">
        <v>586</v>
      </c>
      <c r="C237" t="s">
        <v>587</v>
      </c>
      <c r="D237" t="s">
        <v>816</v>
      </c>
    </row>
    <row r="238" spans="1:4" x14ac:dyDescent="0.25">
      <c r="A238" t="s">
        <v>560</v>
      </c>
      <c r="B238" t="s">
        <v>586</v>
      </c>
      <c r="C238" t="s">
        <v>588</v>
      </c>
      <c r="D238" t="s">
        <v>816</v>
      </c>
    </row>
    <row r="239" spans="1:4" x14ac:dyDescent="0.25">
      <c r="A239" t="s">
        <v>560</v>
      </c>
      <c r="B239" t="s">
        <v>586</v>
      </c>
      <c r="C239" t="s">
        <v>589</v>
      </c>
      <c r="D239" t="s">
        <v>816</v>
      </c>
    </row>
    <row r="240" spans="1:4" x14ac:dyDescent="0.25">
      <c r="A240" t="s">
        <v>560</v>
      </c>
      <c r="B240" t="s">
        <v>586</v>
      </c>
      <c r="C240" t="s">
        <v>590</v>
      </c>
      <c r="D240" t="s">
        <v>816</v>
      </c>
    </row>
    <row r="241" spans="1:4" x14ac:dyDescent="0.25">
      <c r="A241" t="s">
        <v>560</v>
      </c>
      <c r="B241" t="s">
        <v>586</v>
      </c>
      <c r="C241" t="s">
        <v>591</v>
      </c>
      <c r="D241" t="s">
        <v>816</v>
      </c>
    </row>
    <row r="242" spans="1:4" x14ac:dyDescent="0.25">
      <c r="A242" t="s">
        <v>560</v>
      </c>
      <c r="B242" t="s">
        <v>586</v>
      </c>
      <c r="C242" t="s">
        <v>593</v>
      </c>
      <c r="D242" t="s">
        <v>816</v>
      </c>
    </row>
    <row r="243" spans="1:4" x14ac:dyDescent="0.25">
      <c r="A243" t="s">
        <v>560</v>
      </c>
      <c r="B243" t="s">
        <v>586</v>
      </c>
      <c r="C243" t="s">
        <v>594</v>
      </c>
      <c r="D243" t="s">
        <v>816</v>
      </c>
    </row>
    <row r="244" spans="1:4" x14ac:dyDescent="0.25">
      <c r="A244" t="s">
        <v>560</v>
      </c>
      <c r="B244" t="s">
        <v>600</v>
      </c>
      <c r="C244" t="s">
        <v>602</v>
      </c>
      <c r="D244" t="s">
        <v>816</v>
      </c>
    </row>
    <row r="245" spans="1:4" x14ac:dyDescent="0.25">
      <c r="A245" t="s">
        <v>560</v>
      </c>
      <c r="B245" t="s">
        <v>603</v>
      </c>
      <c r="C245" t="s">
        <v>604</v>
      </c>
      <c r="D245" t="s">
        <v>816</v>
      </c>
    </row>
    <row r="246" spans="1:4" x14ac:dyDescent="0.25">
      <c r="A246" t="s">
        <v>560</v>
      </c>
      <c r="B246" t="s">
        <v>586</v>
      </c>
      <c r="C246" t="s">
        <v>609</v>
      </c>
      <c r="D246" t="s">
        <v>816</v>
      </c>
    </row>
    <row r="247" spans="1:4" x14ac:dyDescent="0.25">
      <c r="A247" t="s">
        <v>560</v>
      </c>
      <c r="B247" t="s">
        <v>586</v>
      </c>
      <c r="C247" t="s">
        <v>610</v>
      </c>
      <c r="D247" t="s">
        <v>816</v>
      </c>
    </row>
    <row r="248" spans="1:4" x14ac:dyDescent="0.25">
      <c r="A248" t="s">
        <v>560</v>
      </c>
      <c r="B248" t="s">
        <v>586</v>
      </c>
      <c r="C248" t="s">
        <v>611</v>
      </c>
      <c r="D248" t="s">
        <v>816</v>
      </c>
    </row>
    <row r="249" spans="1:4" x14ac:dyDescent="0.25">
      <c r="A249" t="s">
        <v>560</v>
      </c>
      <c r="B249" t="s">
        <v>586</v>
      </c>
      <c r="C249" t="s">
        <v>614</v>
      </c>
      <c r="D249" t="s">
        <v>816</v>
      </c>
    </row>
    <row r="250" spans="1:4" x14ac:dyDescent="0.25">
      <c r="A250" t="s">
        <v>560</v>
      </c>
      <c r="B250" t="s">
        <v>586</v>
      </c>
      <c r="C250" t="s">
        <v>616</v>
      </c>
      <c r="D250" t="s">
        <v>816</v>
      </c>
    </row>
    <row r="251" spans="1:4" x14ac:dyDescent="0.25">
      <c r="A251" t="s">
        <v>560</v>
      </c>
      <c r="B251" t="s">
        <v>586</v>
      </c>
      <c r="C251" t="s">
        <v>618</v>
      </c>
      <c r="D251" t="s">
        <v>816</v>
      </c>
    </row>
    <row r="252" spans="1:4" x14ac:dyDescent="0.25">
      <c r="A252" t="s">
        <v>560</v>
      </c>
      <c r="B252" t="s">
        <v>586</v>
      </c>
      <c r="C252" t="s">
        <v>464</v>
      </c>
      <c r="D252" t="s">
        <v>816</v>
      </c>
    </row>
    <row r="253" spans="1:4" x14ac:dyDescent="0.25">
      <c r="A253" t="s">
        <v>560</v>
      </c>
      <c r="B253" t="s">
        <v>579</v>
      </c>
      <c r="C253" t="s">
        <v>620</v>
      </c>
      <c r="D253" t="s">
        <v>816</v>
      </c>
    </row>
    <row r="254" spans="1:4" x14ac:dyDescent="0.25">
      <c r="A254" t="s">
        <v>560</v>
      </c>
      <c r="B254" t="s">
        <v>586</v>
      </c>
      <c r="C254" t="s">
        <v>654</v>
      </c>
      <c r="D254" t="s">
        <v>816</v>
      </c>
    </row>
    <row r="255" spans="1:4" x14ac:dyDescent="0.25">
      <c r="A255" t="s">
        <v>560</v>
      </c>
      <c r="B255" t="s">
        <v>603</v>
      </c>
      <c r="C255" t="s">
        <v>664</v>
      </c>
      <c r="D255" t="s">
        <v>816</v>
      </c>
    </row>
    <row r="256" spans="1:4" x14ac:dyDescent="0.25">
      <c r="A256" t="s">
        <v>560</v>
      </c>
      <c r="B256" t="s">
        <v>586</v>
      </c>
      <c r="C256" t="s">
        <v>665</v>
      </c>
      <c r="D256" t="s">
        <v>816</v>
      </c>
    </row>
    <row r="257" spans="1:4" x14ac:dyDescent="0.25">
      <c r="A257" t="s">
        <v>560</v>
      </c>
      <c r="B257" t="s">
        <v>586</v>
      </c>
      <c r="C257" t="s">
        <v>666</v>
      </c>
      <c r="D257" t="s">
        <v>816</v>
      </c>
    </row>
    <row r="258" spans="1:4" x14ac:dyDescent="0.25">
      <c r="A258" t="s">
        <v>560</v>
      </c>
      <c r="B258" t="s">
        <v>586</v>
      </c>
      <c r="C258" t="s">
        <v>667</v>
      </c>
      <c r="D258" t="s">
        <v>816</v>
      </c>
    </row>
    <row r="259" spans="1:4" x14ac:dyDescent="0.25">
      <c r="A259" t="s">
        <v>560</v>
      </c>
      <c r="B259" t="s">
        <v>586</v>
      </c>
      <c r="C259" t="s">
        <v>669</v>
      </c>
      <c r="D259" t="s">
        <v>816</v>
      </c>
    </row>
    <row r="260" spans="1:4" x14ac:dyDescent="0.25">
      <c r="A260" t="s">
        <v>560</v>
      </c>
      <c r="B260" t="s">
        <v>586</v>
      </c>
      <c r="C260" t="s">
        <v>670</v>
      </c>
      <c r="D260" t="s">
        <v>816</v>
      </c>
    </row>
    <row r="261" spans="1:4" x14ac:dyDescent="0.25">
      <c r="A261" t="s">
        <v>560</v>
      </c>
      <c r="B261" t="s">
        <v>586</v>
      </c>
      <c r="C261" t="s">
        <v>671</v>
      </c>
      <c r="D261" t="s">
        <v>816</v>
      </c>
    </row>
    <row r="262" spans="1:4" x14ac:dyDescent="0.25">
      <c r="A262" t="s">
        <v>560</v>
      </c>
      <c r="B262" t="s">
        <v>586</v>
      </c>
      <c r="C262" t="s">
        <v>672</v>
      </c>
      <c r="D262" t="s">
        <v>816</v>
      </c>
    </row>
    <row r="263" spans="1:4" x14ac:dyDescent="0.25">
      <c r="A263" t="s">
        <v>560</v>
      </c>
      <c r="B263" t="s">
        <v>579</v>
      </c>
      <c r="C263" t="s">
        <v>673</v>
      </c>
      <c r="D263" t="s">
        <v>816</v>
      </c>
    </row>
    <row r="264" spans="1:4" x14ac:dyDescent="0.25">
      <c r="A264" t="s">
        <v>560</v>
      </c>
      <c r="B264" t="s">
        <v>579</v>
      </c>
      <c r="C264" t="s">
        <v>674</v>
      </c>
      <c r="D264" t="s">
        <v>816</v>
      </c>
    </row>
    <row r="265" spans="1:4" x14ac:dyDescent="0.25">
      <c r="A265" t="s">
        <v>560</v>
      </c>
      <c r="B265" t="s">
        <v>579</v>
      </c>
      <c r="C265" t="s">
        <v>464</v>
      </c>
      <c r="D265" t="s">
        <v>816</v>
      </c>
    </row>
    <row r="266" spans="1:4" x14ac:dyDescent="0.25">
      <c r="A266" t="s">
        <v>560</v>
      </c>
      <c r="B266" t="s">
        <v>603</v>
      </c>
      <c r="C266" t="s">
        <v>675</v>
      </c>
      <c r="D266" t="s">
        <v>816</v>
      </c>
    </row>
    <row r="267" spans="1:4" x14ac:dyDescent="0.25">
      <c r="A267" t="s">
        <v>560</v>
      </c>
      <c r="B267" t="s">
        <v>603</v>
      </c>
      <c r="C267" t="s">
        <v>676</v>
      </c>
      <c r="D267" t="s">
        <v>816</v>
      </c>
    </row>
    <row r="268" spans="1:4" x14ac:dyDescent="0.25">
      <c r="A268" t="s">
        <v>560</v>
      </c>
      <c r="B268" t="s">
        <v>603</v>
      </c>
      <c r="C268" t="s">
        <v>677</v>
      </c>
      <c r="D268" t="s">
        <v>816</v>
      </c>
    </row>
    <row r="269" spans="1:4" x14ac:dyDescent="0.25">
      <c r="A269" t="s">
        <v>560</v>
      </c>
      <c r="B269" t="s">
        <v>603</v>
      </c>
      <c r="C269" t="s">
        <v>464</v>
      </c>
      <c r="D269" t="s">
        <v>816</v>
      </c>
    </row>
    <row r="270" spans="1:4" x14ac:dyDescent="0.25">
      <c r="A270" t="s">
        <v>560</v>
      </c>
      <c r="B270" t="s">
        <v>581</v>
      </c>
      <c r="C270" t="s">
        <v>819</v>
      </c>
      <c r="D270" t="s">
        <v>151</v>
      </c>
    </row>
    <row r="271" spans="1:4" x14ac:dyDescent="0.25">
      <c r="A271" t="s">
        <v>560</v>
      </c>
      <c r="B271" t="s">
        <v>600</v>
      </c>
      <c r="C271" t="s">
        <v>821</v>
      </c>
      <c r="D271" t="s">
        <v>142</v>
      </c>
    </row>
    <row r="272" spans="1:4" x14ac:dyDescent="0.25">
      <c r="A272" t="s">
        <v>560</v>
      </c>
      <c r="B272" t="s">
        <v>586</v>
      </c>
      <c r="C272" t="s">
        <v>827</v>
      </c>
      <c r="D272" t="s">
        <v>121</v>
      </c>
    </row>
    <row r="273" spans="1:4" x14ac:dyDescent="0.25">
      <c r="A273" t="s">
        <v>560</v>
      </c>
      <c r="B273" t="s">
        <v>579</v>
      </c>
      <c r="C273" t="s">
        <v>828</v>
      </c>
      <c r="D273" t="s">
        <v>121</v>
      </c>
    </row>
    <row r="274" spans="1:4" x14ac:dyDescent="0.25">
      <c r="A274" t="s">
        <v>560</v>
      </c>
      <c r="B274" t="s">
        <v>600</v>
      </c>
      <c r="C274" t="s">
        <v>829</v>
      </c>
      <c r="D274" t="s">
        <v>142</v>
      </c>
    </row>
    <row r="275" spans="1:4" x14ac:dyDescent="0.25">
      <c r="A275" t="s">
        <v>560</v>
      </c>
      <c r="B275" t="s">
        <v>600</v>
      </c>
      <c r="C275" t="s">
        <v>830</v>
      </c>
      <c r="D275" t="s">
        <v>142</v>
      </c>
    </row>
    <row r="276" spans="1:4" x14ac:dyDescent="0.25">
      <c r="A276" t="s">
        <v>560</v>
      </c>
      <c r="B276" t="s">
        <v>586</v>
      </c>
      <c r="C276" t="s">
        <v>831</v>
      </c>
      <c r="D276" t="s">
        <v>121</v>
      </c>
    </row>
    <row r="277" spans="1:4" x14ac:dyDescent="0.25">
      <c r="A277" t="s">
        <v>560</v>
      </c>
      <c r="B277" t="s">
        <v>600</v>
      </c>
      <c r="C277" t="s">
        <v>833</v>
      </c>
      <c r="D277" t="s">
        <v>142</v>
      </c>
    </row>
    <row r="278" spans="1:4" x14ac:dyDescent="0.25">
      <c r="A278" t="s">
        <v>560</v>
      </c>
      <c r="B278" t="s">
        <v>586</v>
      </c>
      <c r="C278" t="s">
        <v>834</v>
      </c>
      <c r="D278" t="s">
        <v>121</v>
      </c>
    </row>
    <row r="279" spans="1:4" x14ac:dyDescent="0.25">
      <c r="A279" t="s">
        <v>560</v>
      </c>
      <c r="B279" t="s">
        <v>600</v>
      </c>
      <c r="C279" t="s">
        <v>836</v>
      </c>
      <c r="D279" t="s">
        <v>142</v>
      </c>
    </row>
    <row r="280" spans="1:4" x14ac:dyDescent="0.25">
      <c r="A280" t="s">
        <v>560</v>
      </c>
      <c r="B280" t="s">
        <v>603</v>
      </c>
      <c r="C280" t="s">
        <v>838</v>
      </c>
      <c r="D280" t="s">
        <v>121</v>
      </c>
    </row>
    <row r="281" spans="1:4" x14ac:dyDescent="0.25">
      <c r="A281" t="s">
        <v>560</v>
      </c>
      <c r="B281" t="s">
        <v>579</v>
      </c>
      <c r="C281" t="s">
        <v>841</v>
      </c>
      <c r="D281" t="s">
        <v>121</v>
      </c>
    </row>
    <row r="282" spans="1:4" x14ac:dyDescent="0.25">
      <c r="A282" t="s">
        <v>560</v>
      </c>
      <c r="B282" t="s">
        <v>842</v>
      </c>
      <c r="C282" t="s">
        <v>830</v>
      </c>
      <c r="D282" t="s">
        <v>142</v>
      </c>
    </row>
    <row r="283" spans="1:4" x14ac:dyDescent="0.25">
      <c r="A283" t="s">
        <v>560</v>
      </c>
      <c r="B283" t="s">
        <v>842</v>
      </c>
      <c r="C283" t="s">
        <v>641</v>
      </c>
      <c r="D283" t="s">
        <v>142</v>
      </c>
    </row>
    <row r="284" spans="1:4" x14ac:dyDescent="0.25">
      <c r="A284" t="s">
        <v>560</v>
      </c>
      <c r="B284" t="s">
        <v>586</v>
      </c>
      <c r="C284" t="s">
        <v>846</v>
      </c>
      <c r="D284" t="s">
        <v>121</v>
      </c>
    </row>
    <row r="285" spans="1:4" x14ac:dyDescent="0.25">
      <c r="A285" t="s">
        <v>560</v>
      </c>
      <c r="B285" t="s">
        <v>586</v>
      </c>
      <c r="C285" t="s">
        <v>847</v>
      </c>
      <c r="D285" t="s">
        <v>121</v>
      </c>
    </row>
    <row r="286" spans="1:4" x14ac:dyDescent="0.25">
      <c r="A286" t="s">
        <v>560</v>
      </c>
      <c r="B286" t="s">
        <v>600</v>
      </c>
      <c r="C286" t="s">
        <v>849</v>
      </c>
      <c r="D286" t="s">
        <v>142</v>
      </c>
    </row>
    <row r="287" spans="1:4" x14ac:dyDescent="0.25">
      <c r="A287" t="s">
        <v>560</v>
      </c>
      <c r="B287" t="s">
        <v>600</v>
      </c>
      <c r="C287" t="s">
        <v>850</v>
      </c>
      <c r="D287" t="s">
        <v>142</v>
      </c>
    </row>
    <row r="288" spans="1:4" x14ac:dyDescent="0.25">
      <c r="A288" t="s">
        <v>560</v>
      </c>
      <c r="B288" t="s">
        <v>603</v>
      </c>
      <c r="C288" t="s">
        <v>852</v>
      </c>
      <c r="D288" t="s">
        <v>121</v>
      </c>
    </row>
    <row r="289" spans="1:4" x14ac:dyDescent="0.25">
      <c r="A289" t="s">
        <v>560</v>
      </c>
      <c r="B289" t="s">
        <v>561</v>
      </c>
      <c r="C289" t="s">
        <v>853</v>
      </c>
      <c r="D289" t="s">
        <v>123</v>
      </c>
    </row>
    <row r="290" spans="1:4" x14ac:dyDescent="0.25">
      <c r="A290" t="s">
        <v>560</v>
      </c>
      <c r="B290" t="s">
        <v>586</v>
      </c>
      <c r="C290" t="s">
        <v>856</v>
      </c>
      <c r="D290" t="s">
        <v>121</v>
      </c>
    </row>
    <row r="291" spans="1:4" x14ac:dyDescent="0.25">
      <c r="A291" t="s">
        <v>560</v>
      </c>
      <c r="B291" t="s">
        <v>600</v>
      </c>
      <c r="C291" t="s">
        <v>857</v>
      </c>
      <c r="D291" t="s">
        <v>142</v>
      </c>
    </row>
    <row r="292" spans="1:4" x14ac:dyDescent="0.25">
      <c r="A292" t="s">
        <v>560</v>
      </c>
      <c r="B292" t="s">
        <v>600</v>
      </c>
      <c r="C292" t="s">
        <v>858</v>
      </c>
      <c r="D292" t="s">
        <v>142</v>
      </c>
    </row>
    <row r="293" spans="1:4" x14ac:dyDescent="0.25">
      <c r="A293" t="s">
        <v>560</v>
      </c>
      <c r="B293" t="s">
        <v>561</v>
      </c>
      <c r="C293" t="s">
        <v>859</v>
      </c>
      <c r="D293" t="s">
        <v>123</v>
      </c>
    </row>
    <row r="294" spans="1:4" x14ac:dyDescent="0.25">
      <c r="A294" t="s">
        <v>560</v>
      </c>
      <c r="B294" t="s">
        <v>561</v>
      </c>
      <c r="C294" t="s">
        <v>860</v>
      </c>
      <c r="D294" t="s">
        <v>123</v>
      </c>
    </row>
    <row r="295" spans="1:4" x14ac:dyDescent="0.25">
      <c r="A295" t="s">
        <v>560</v>
      </c>
      <c r="B295" t="s">
        <v>600</v>
      </c>
      <c r="C295" t="s">
        <v>861</v>
      </c>
      <c r="D295" t="s">
        <v>142</v>
      </c>
    </row>
    <row r="296" spans="1:4" x14ac:dyDescent="0.25">
      <c r="A296" t="s">
        <v>560</v>
      </c>
      <c r="B296" t="s">
        <v>586</v>
      </c>
      <c r="C296" t="s">
        <v>862</v>
      </c>
      <c r="D296" t="s">
        <v>121</v>
      </c>
    </row>
    <row r="297" spans="1:4" x14ac:dyDescent="0.25">
      <c r="A297" t="s">
        <v>560</v>
      </c>
      <c r="B297" t="s">
        <v>600</v>
      </c>
      <c r="C297" t="s">
        <v>867</v>
      </c>
      <c r="D297" t="s">
        <v>142</v>
      </c>
    </row>
    <row r="298" spans="1:4" x14ac:dyDescent="0.25">
      <c r="A298" t="s">
        <v>560</v>
      </c>
      <c r="B298" t="s">
        <v>603</v>
      </c>
      <c r="C298" t="s">
        <v>868</v>
      </c>
      <c r="D298" t="s">
        <v>121</v>
      </c>
    </row>
    <row r="299" spans="1:4" x14ac:dyDescent="0.25">
      <c r="A299" t="s">
        <v>560</v>
      </c>
      <c r="B299" t="s">
        <v>600</v>
      </c>
      <c r="C299" t="s">
        <v>869</v>
      </c>
      <c r="D299" t="s">
        <v>142</v>
      </c>
    </row>
    <row r="300" spans="1:4" x14ac:dyDescent="0.25">
      <c r="A300" t="s">
        <v>560</v>
      </c>
      <c r="B300" t="s">
        <v>600</v>
      </c>
      <c r="C300" t="s">
        <v>872</v>
      </c>
      <c r="D300" t="s">
        <v>142</v>
      </c>
    </row>
    <row r="301" spans="1:4" x14ac:dyDescent="0.25">
      <c r="A301" t="s">
        <v>560</v>
      </c>
      <c r="B301" t="s">
        <v>586</v>
      </c>
      <c r="C301" t="s">
        <v>873</v>
      </c>
      <c r="D301" t="s">
        <v>121</v>
      </c>
    </row>
    <row r="302" spans="1:4" x14ac:dyDescent="0.25">
      <c r="A302" t="s">
        <v>560</v>
      </c>
      <c r="B302" t="s">
        <v>600</v>
      </c>
      <c r="C302" t="s">
        <v>875</v>
      </c>
      <c r="D302" t="s">
        <v>142</v>
      </c>
    </row>
    <row r="303" spans="1:4" x14ac:dyDescent="0.25">
      <c r="A303" t="s">
        <v>560</v>
      </c>
      <c r="B303" t="s">
        <v>581</v>
      </c>
      <c r="C303" t="s">
        <v>877</v>
      </c>
      <c r="D303" t="s">
        <v>151</v>
      </c>
    </row>
    <row r="304" spans="1:4" x14ac:dyDescent="0.25">
      <c r="A304" t="s">
        <v>560</v>
      </c>
      <c r="B304" t="s">
        <v>586</v>
      </c>
      <c r="C304" t="s">
        <v>878</v>
      </c>
      <c r="D304" t="s">
        <v>121</v>
      </c>
    </row>
    <row r="305" spans="1:4" x14ac:dyDescent="0.25">
      <c r="A305" t="s">
        <v>560</v>
      </c>
      <c r="B305" t="s">
        <v>603</v>
      </c>
      <c r="C305" t="s">
        <v>881</v>
      </c>
      <c r="D305" t="s">
        <v>121</v>
      </c>
    </row>
    <row r="306" spans="1:4" x14ac:dyDescent="0.25">
      <c r="A306" t="s">
        <v>560</v>
      </c>
      <c r="B306" t="s">
        <v>586</v>
      </c>
      <c r="C306" t="s">
        <v>884</v>
      </c>
      <c r="D306" t="s">
        <v>121</v>
      </c>
    </row>
    <row r="307" spans="1:4" x14ac:dyDescent="0.25">
      <c r="A307" t="s">
        <v>560</v>
      </c>
      <c r="B307" t="s">
        <v>668</v>
      </c>
      <c r="C307" t="s">
        <v>609</v>
      </c>
      <c r="D307" t="s">
        <v>121</v>
      </c>
    </row>
    <row r="308" spans="1:4" x14ac:dyDescent="0.25">
      <c r="A308" t="s">
        <v>560</v>
      </c>
      <c r="B308" t="s">
        <v>586</v>
      </c>
      <c r="C308" t="s">
        <v>700</v>
      </c>
      <c r="D308" t="s">
        <v>157</v>
      </c>
    </row>
    <row r="309" spans="1:4" x14ac:dyDescent="0.25">
      <c r="A309" t="s">
        <v>560</v>
      </c>
      <c r="B309" t="s">
        <v>842</v>
      </c>
      <c r="C309" t="s">
        <v>646</v>
      </c>
      <c r="D309" t="s">
        <v>142</v>
      </c>
    </row>
    <row r="310" spans="1:4" x14ac:dyDescent="0.25">
      <c r="A310" t="s">
        <v>560</v>
      </c>
      <c r="B310" t="s">
        <v>600</v>
      </c>
      <c r="C310" t="s">
        <v>893</v>
      </c>
      <c r="D310" t="s">
        <v>142</v>
      </c>
    </row>
    <row r="311" spans="1:4" x14ac:dyDescent="0.25">
      <c r="A311" t="s">
        <v>560</v>
      </c>
      <c r="B311" t="s">
        <v>586</v>
      </c>
      <c r="C311" t="s">
        <v>897</v>
      </c>
      <c r="D311" t="s">
        <v>121</v>
      </c>
    </row>
    <row r="312" spans="1:4" x14ac:dyDescent="0.25">
      <c r="A312" t="s">
        <v>560</v>
      </c>
      <c r="B312" t="s">
        <v>561</v>
      </c>
      <c r="C312" t="s">
        <v>902</v>
      </c>
      <c r="D312" t="s">
        <v>123</v>
      </c>
    </row>
    <row r="313" spans="1:4" x14ac:dyDescent="0.25">
      <c r="A313" t="s">
        <v>560</v>
      </c>
      <c r="B313" t="s">
        <v>561</v>
      </c>
      <c r="C313" t="s">
        <v>904</v>
      </c>
      <c r="D313" t="s">
        <v>123</v>
      </c>
    </row>
    <row r="314" spans="1:4" x14ac:dyDescent="0.25">
      <c r="A314" t="s">
        <v>560</v>
      </c>
      <c r="B314" t="s">
        <v>581</v>
      </c>
      <c r="C314" t="s">
        <v>905</v>
      </c>
      <c r="D314" t="s">
        <v>151</v>
      </c>
    </row>
    <row r="315" spans="1:4" x14ac:dyDescent="0.25">
      <c r="A315" t="s">
        <v>560</v>
      </c>
      <c r="B315" t="s">
        <v>586</v>
      </c>
      <c r="C315" t="s">
        <v>910</v>
      </c>
      <c r="D315" t="s">
        <v>121</v>
      </c>
    </row>
    <row r="316" spans="1:4" x14ac:dyDescent="0.25">
      <c r="A316" t="s">
        <v>560</v>
      </c>
      <c r="B316" t="s">
        <v>603</v>
      </c>
      <c r="C316" t="s">
        <v>911</v>
      </c>
      <c r="D316" t="s">
        <v>121</v>
      </c>
    </row>
    <row r="317" spans="1:4" x14ac:dyDescent="0.25">
      <c r="A317" t="s">
        <v>560</v>
      </c>
      <c r="B317" t="s">
        <v>600</v>
      </c>
      <c r="C317" t="s">
        <v>912</v>
      </c>
      <c r="D317" t="s">
        <v>142</v>
      </c>
    </row>
    <row r="318" spans="1:4" x14ac:dyDescent="0.25">
      <c r="A318" t="s">
        <v>560</v>
      </c>
      <c r="B318" t="s">
        <v>586</v>
      </c>
      <c r="C318" t="s">
        <v>913</v>
      </c>
      <c r="D318" t="s">
        <v>121</v>
      </c>
    </row>
    <row r="319" spans="1:4" x14ac:dyDescent="0.25">
      <c r="A319" t="s">
        <v>560</v>
      </c>
      <c r="B319" t="s">
        <v>586</v>
      </c>
      <c r="C319" t="s">
        <v>914</v>
      </c>
      <c r="D319" t="s">
        <v>121</v>
      </c>
    </row>
    <row r="320" spans="1:4" x14ac:dyDescent="0.25">
      <c r="A320" t="s">
        <v>560</v>
      </c>
      <c r="B320" t="s">
        <v>586</v>
      </c>
      <c r="C320" t="s">
        <v>915</v>
      </c>
      <c r="D320" t="s">
        <v>121</v>
      </c>
    </row>
    <row r="321" spans="1:4" x14ac:dyDescent="0.25">
      <c r="A321" t="s">
        <v>560</v>
      </c>
      <c r="B321" t="s">
        <v>586</v>
      </c>
      <c r="C321" t="s">
        <v>333</v>
      </c>
      <c r="D321" t="s">
        <v>121</v>
      </c>
    </row>
    <row r="322" spans="1:4" x14ac:dyDescent="0.25">
      <c r="A322" t="s">
        <v>560</v>
      </c>
      <c r="B322" t="s">
        <v>586</v>
      </c>
      <c r="C322" t="s">
        <v>920</v>
      </c>
      <c r="D322" t="s">
        <v>121</v>
      </c>
    </row>
    <row r="323" spans="1:4" x14ac:dyDescent="0.25">
      <c r="A323" t="s">
        <v>560</v>
      </c>
      <c r="B323" t="s">
        <v>921</v>
      </c>
      <c r="C323" t="s">
        <v>922</v>
      </c>
      <c r="D323" t="s">
        <v>121</v>
      </c>
    </row>
    <row r="324" spans="1:4" x14ac:dyDescent="0.25">
      <c r="A324" t="s">
        <v>560</v>
      </c>
      <c r="B324" t="s">
        <v>600</v>
      </c>
      <c r="C324" t="s">
        <v>923</v>
      </c>
      <c r="D324" t="s">
        <v>142</v>
      </c>
    </row>
    <row r="325" spans="1:4" x14ac:dyDescent="0.25">
      <c r="A325" t="s">
        <v>560</v>
      </c>
      <c r="B325" t="s">
        <v>586</v>
      </c>
      <c r="C325" t="s">
        <v>928</v>
      </c>
      <c r="D325" t="s">
        <v>121</v>
      </c>
    </row>
    <row r="326" spans="1:4" x14ac:dyDescent="0.25">
      <c r="A326" t="s">
        <v>560</v>
      </c>
      <c r="B326" t="s">
        <v>586</v>
      </c>
      <c r="C326" t="s">
        <v>929</v>
      </c>
      <c r="D326" t="s">
        <v>121</v>
      </c>
    </row>
    <row r="327" spans="1:4" x14ac:dyDescent="0.25">
      <c r="A327" t="s">
        <v>560</v>
      </c>
      <c r="B327" t="s">
        <v>586</v>
      </c>
      <c r="C327" t="s">
        <v>930</v>
      </c>
      <c r="D327" t="s">
        <v>121</v>
      </c>
    </row>
    <row r="328" spans="1:4" x14ac:dyDescent="0.25">
      <c r="A328" t="s">
        <v>560</v>
      </c>
      <c r="B328" t="s">
        <v>586</v>
      </c>
      <c r="C328" t="s">
        <v>931</v>
      </c>
      <c r="D328" t="s">
        <v>121</v>
      </c>
    </row>
    <row r="329" spans="1:4" x14ac:dyDescent="0.25">
      <c r="A329" t="s">
        <v>560</v>
      </c>
      <c r="B329" t="s">
        <v>603</v>
      </c>
      <c r="C329" t="s">
        <v>932</v>
      </c>
      <c r="D329" t="s">
        <v>121</v>
      </c>
    </row>
    <row r="330" spans="1:4" x14ac:dyDescent="0.25">
      <c r="A330" t="s">
        <v>560</v>
      </c>
      <c r="B330" t="s">
        <v>586</v>
      </c>
      <c r="C330" t="s">
        <v>933</v>
      </c>
      <c r="D330" t="s">
        <v>121</v>
      </c>
    </row>
    <row r="331" spans="1:4" x14ac:dyDescent="0.25">
      <c r="A331" t="s">
        <v>560</v>
      </c>
      <c r="B331" t="s">
        <v>586</v>
      </c>
      <c r="C331" t="s">
        <v>934</v>
      </c>
      <c r="D331" t="s">
        <v>121</v>
      </c>
    </row>
    <row r="332" spans="1:4" x14ac:dyDescent="0.25">
      <c r="A332" t="s">
        <v>560</v>
      </c>
      <c r="B332" t="s">
        <v>586</v>
      </c>
      <c r="C332" t="s">
        <v>935</v>
      </c>
      <c r="D332" t="s">
        <v>121</v>
      </c>
    </row>
    <row r="333" spans="1:4" x14ac:dyDescent="0.25">
      <c r="A333" t="s">
        <v>560</v>
      </c>
      <c r="B333" t="s">
        <v>586</v>
      </c>
      <c r="C333" t="s">
        <v>936</v>
      </c>
      <c r="D333" t="s">
        <v>121</v>
      </c>
    </row>
    <row r="334" spans="1:4" x14ac:dyDescent="0.25">
      <c r="A334" t="s">
        <v>560</v>
      </c>
      <c r="B334" t="s">
        <v>937</v>
      </c>
      <c r="C334" t="s">
        <v>607</v>
      </c>
      <c r="D334" t="s">
        <v>142</v>
      </c>
    </row>
    <row r="335" spans="1:4" x14ac:dyDescent="0.25">
      <c r="A335" t="s">
        <v>560</v>
      </c>
      <c r="B335" t="s">
        <v>600</v>
      </c>
      <c r="C335" t="s">
        <v>938</v>
      </c>
      <c r="D335" t="s">
        <v>142</v>
      </c>
    </row>
    <row r="336" spans="1:4" x14ac:dyDescent="0.25">
      <c r="A336" t="s">
        <v>560</v>
      </c>
      <c r="B336" t="s">
        <v>600</v>
      </c>
      <c r="C336" t="s">
        <v>939</v>
      </c>
      <c r="D336" t="s">
        <v>142</v>
      </c>
    </row>
    <row r="337" spans="1:4" x14ac:dyDescent="0.25">
      <c r="A337" t="s">
        <v>560</v>
      </c>
      <c r="B337" t="s">
        <v>561</v>
      </c>
      <c r="C337" t="s">
        <v>940</v>
      </c>
      <c r="D337" t="s">
        <v>123</v>
      </c>
    </row>
    <row r="338" spans="1:4" x14ac:dyDescent="0.25">
      <c r="A338" t="s">
        <v>560</v>
      </c>
      <c r="B338" t="s">
        <v>600</v>
      </c>
      <c r="C338" t="s">
        <v>941</v>
      </c>
      <c r="D338" t="s">
        <v>142</v>
      </c>
    </row>
    <row r="339" spans="1:4" x14ac:dyDescent="0.25">
      <c r="A339" t="s">
        <v>560</v>
      </c>
      <c r="B339" t="s">
        <v>586</v>
      </c>
      <c r="C339" t="s">
        <v>942</v>
      </c>
      <c r="D339" t="s">
        <v>121</v>
      </c>
    </row>
    <row r="340" spans="1:4" x14ac:dyDescent="0.25">
      <c r="A340" t="s">
        <v>560</v>
      </c>
      <c r="B340" t="s">
        <v>586</v>
      </c>
      <c r="C340" t="s">
        <v>943</v>
      </c>
      <c r="D340" t="s">
        <v>121</v>
      </c>
    </row>
    <row r="341" spans="1:4" x14ac:dyDescent="0.25">
      <c r="A341" t="s">
        <v>560</v>
      </c>
      <c r="B341" t="s">
        <v>586</v>
      </c>
      <c r="C341" t="s">
        <v>945</v>
      </c>
      <c r="D341" t="s">
        <v>121</v>
      </c>
    </row>
    <row r="342" spans="1:4" x14ac:dyDescent="0.25">
      <c r="A342" t="s">
        <v>560</v>
      </c>
      <c r="B342" t="s">
        <v>586</v>
      </c>
      <c r="C342" t="s">
        <v>946</v>
      </c>
      <c r="D342" t="s">
        <v>121</v>
      </c>
    </row>
    <row r="343" spans="1:4" x14ac:dyDescent="0.25">
      <c r="A343" t="s">
        <v>560</v>
      </c>
      <c r="B343" t="s">
        <v>581</v>
      </c>
      <c r="C343" t="s">
        <v>947</v>
      </c>
      <c r="D343" t="s">
        <v>151</v>
      </c>
    </row>
    <row r="344" spans="1:4" x14ac:dyDescent="0.25">
      <c r="A344" t="s">
        <v>560</v>
      </c>
      <c r="B344" t="s">
        <v>600</v>
      </c>
      <c r="C344" t="s">
        <v>602</v>
      </c>
      <c r="D344" t="s">
        <v>142</v>
      </c>
    </row>
    <row r="345" spans="1:4" x14ac:dyDescent="0.25">
      <c r="A345" t="s">
        <v>560</v>
      </c>
      <c r="B345" t="s">
        <v>834</v>
      </c>
      <c r="C345" t="s">
        <v>834</v>
      </c>
      <c r="D345" t="s">
        <v>121</v>
      </c>
    </row>
    <row r="346" spans="1:4" x14ac:dyDescent="0.25">
      <c r="A346" t="s">
        <v>560</v>
      </c>
      <c r="B346" t="s">
        <v>581</v>
      </c>
      <c r="C346" t="s">
        <v>952</v>
      </c>
      <c r="D346" t="s">
        <v>151</v>
      </c>
    </row>
    <row r="347" spans="1:4" x14ac:dyDescent="0.25">
      <c r="A347" t="s">
        <v>560</v>
      </c>
      <c r="B347" t="s">
        <v>561</v>
      </c>
      <c r="C347" t="s">
        <v>956</v>
      </c>
      <c r="D347" t="s">
        <v>123</v>
      </c>
    </row>
    <row r="348" spans="1:4" x14ac:dyDescent="0.25">
      <c r="A348" t="s">
        <v>560</v>
      </c>
      <c r="B348" t="s">
        <v>600</v>
      </c>
      <c r="C348" t="s">
        <v>957</v>
      </c>
      <c r="D348" t="s">
        <v>142</v>
      </c>
    </row>
    <row r="349" spans="1:4" x14ac:dyDescent="0.25">
      <c r="A349" t="s">
        <v>560</v>
      </c>
      <c r="B349" t="s">
        <v>600</v>
      </c>
      <c r="C349" t="s">
        <v>958</v>
      </c>
      <c r="D349" t="s">
        <v>142</v>
      </c>
    </row>
    <row r="350" spans="1:4" x14ac:dyDescent="0.25">
      <c r="A350" t="s">
        <v>560</v>
      </c>
      <c r="B350" t="s">
        <v>586</v>
      </c>
      <c r="C350" t="s">
        <v>959</v>
      </c>
      <c r="D350" t="s">
        <v>121</v>
      </c>
    </row>
    <row r="351" spans="1:4" x14ac:dyDescent="0.25">
      <c r="A351" t="s">
        <v>560</v>
      </c>
      <c r="B351" t="s">
        <v>586</v>
      </c>
      <c r="C351" t="s">
        <v>960</v>
      </c>
      <c r="D351" t="s">
        <v>121</v>
      </c>
    </row>
    <row r="352" spans="1:4" x14ac:dyDescent="0.25">
      <c r="A352" t="s">
        <v>560</v>
      </c>
      <c r="B352" t="s">
        <v>586</v>
      </c>
      <c r="C352" t="s">
        <v>961</v>
      </c>
      <c r="D352" t="s">
        <v>121</v>
      </c>
    </row>
    <row r="353" spans="1:4" x14ac:dyDescent="0.25">
      <c r="A353" t="s">
        <v>560</v>
      </c>
      <c r="B353" t="s">
        <v>561</v>
      </c>
      <c r="C353" t="s">
        <v>967</v>
      </c>
      <c r="D353" t="s">
        <v>123</v>
      </c>
    </row>
    <row r="354" spans="1:4" x14ac:dyDescent="0.25">
      <c r="A354" t="s">
        <v>560</v>
      </c>
      <c r="B354" t="s">
        <v>561</v>
      </c>
      <c r="C354" t="s">
        <v>968</v>
      </c>
      <c r="D354" t="s">
        <v>123</v>
      </c>
    </row>
    <row r="355" spans="1:4" x14ac:dyDescent="0.25">
      <c r="A355" t="s">
        <v>560</v>
      </c>
      <c r="B355" t="s">
        <v>586</v>
      </c>
      <c r="C355" t="s">
        <v>969</v>
      </c>
      <c r="D355" t="s">
        <v>121</v>
      </c>
    </row>
    <row r="356" spans="1:4" x14ac:dyDescent="0.25">
      <c r="A356" t="s">
        <v>560</v>
      </c>
      <c r="B356" t="s">
        <v>581</v>
      </c>
      <c r="C356" t="s">
        <v>970</v>
      </c>
      <c r="D356" t="s">
        <v>151</v>
      </c>
    </row>
    <row r="357" spans="1:4" x14ac:dyDescent="0.25">
      <c r="A357" t="s">
        <v>560</v>
      </c>
      <c r="B357" t="s">
        <v>586</v>
      </c>
      <c r="C357" t="s">
        <v>973</v>
      </c>
      <c r="D357" t="s">
        <v>121</v>
      </c>
    </row>
    <row r="358" spans="1:4" x14ac:dyDescent="0.25">
      <c r="A358" t="s">
        <v>560</v>
      </c>
      <c r="B358" t="s">
        <v>586</v>
      </c>
      <c r="C358" t="s">
        <v>975</v>
      </c>
      <c r="D358" t="s">
        <v>121</v>
      </c>
    </row>
    <row r="359" spans="1:4" x14ac:dyDescent="0.25">
      <c r="A359" t="s">
        <v>560</v>
      </c>
      <c r="B359" t="s">
        <v>584</v>
      </c>
      <c r="C359" t="s">
        <v>976</v>
      </c>
      <c r="D359" t="s">
        <v>118</v>
      </c>
    </row>
    <row r="360" spans="1:4" x14ac:dyDescent="0.25">
      <c r="A360" t="s">
        <v>560</v>
      </c>
      <c r="B360" t="s">
        <v>842</v>
      </c>
      <c r="C360" t="s">
        <v>977</v>
      </c>
      <c r="D360" t="s">
        <v>142</v>
      </c>
    </row>
    <row r="361" spans="1:4" x14ac:dyDescent="0.25">
      <c r="A361" t="s">
        <v>560</v>
      </c>
      <c r="B361" t="s">
        <v>586</v>
      </c>
      <c r="C361" t="s">
        <v>978</v>
      </c>
      <c r="D361" t="s">
        <v>121</v>
      </c>
    </row>
    <row r="362" spans="1:4" x14ac:dyDescent="0.25">
      <c r="A362" t="s">
        <v>560</v>
      </c>
      <c r="B362" t="s">
        <v>600</v>
      </c>
      <c r="C362" t="s">
        <v>979</v>
      </c>
      <c r="D362" t="s">
        <v>142</v>
      </c>
    </row>
    <row r="363" spans="1:4" x14ac:dyDescent="0.25">
      <c r="A363" t="s">
        <v>560</v>
      </c>
      <c r="B363" t="s">
        <v>584</v>
      </c>
      <c r="C363" t="s">
        <v>980</v>
      </c>
      <c r="D363" t="s">
        <v>118</v>
      </c>
    </row>
    <row r="364" spans="1:4" x14ac:dyDescent="0.25">
      <c r="A364" t="s">
        <v>560</v>
      </c>
      <c r="B364" t="s">
        <v>586</v>
      </c>
      <c r="C364" t="s">
        <v>981</v>
      </c>
      <c r="D364" t="s">
        <v>121</v>
      </c>
    </row>
    <row r="365" spans="1:4" x14ac:dyDescent="0.25">
      <c r="A365" t="s">
        <v>560</v>
      </c>
      <c r="B365" t="s">
        <v>842</v>
      </c>
      <c r="C365" t="s">
        <v>987</v>
      </c>
      <c r="D365" t="s">
        <v>142</v>
      </c>
    </row>
    <row r="366" spans="1:4" x14ac:dyDescent="0.25">
      <c r="A366" t="s">
        <v>560</v>
      </c>
      <c r="B366" t="s">
        <v>586</v>
      </c>
      <c r="C366" t="s">
        <v>988</v>
      </c>
      <c r="D366" t="s">
        <v>121</v>
      </c>
    </row>
    <row r="367" spans="1:4" x14ac:dyDescent="0.25">
      <c r="A367" t="s">
        <v>560</v>
      </c>
      <c r="B367" t="s">
        <v>586</v>
      </c>
      <c r="C367" t="s">
        <v>989</v>
      </c>
      <c r="D367" t="s">
        <v>121</v>
      </c>
    </row>
    <row r="368" spans="1:4" x14ac:dyDescent="0.25">
      <c r="A368" t="s">
        <v>560</v>
      </c>
      <c r="B368" t="s">
        <v>581</v>
      </c>
      <c r="C368" t="s">
        <v>990</v>
      </c>
      <c r="D368" t="s">
        <v>151</v>
      </c>
    </row>
    <row r="369" spans="1:4" x14ac:dyDescent="0.25">
      <c r="A369" t="s">
        <v>560</v>
      </c>
      <c r="B369" t="s">
        <v>600</v>
      </c>
      <c r="C369" t="s">
        <v>996</v>
      </c>
      <c r="D369" t="s">
        <v>142</v>
      </c>
    </row>
    <row r="370" spans="1:4" x14ac:dyDescent="0.25">
      <c r="A370" t="s">
        <v>560</v>
      </c>
      <c r="B370" t="s">
        <v>668</v>
      </c>
      <c r="C370" t="s">
        <v>1009</v>
      </c>
      <c r="D370" t="s">
        <v>123</v>
      </c>
    </row>
    <row r="371" spans="1:4" x14ac:dyDescent="0.25">
      <c r="A371" t="s">
        <v>560</v>
      </c>
      <c r="B371" t="s">
        <v>584</v>
      </c>
      <c r="C371" t="s">
        <v>1010</v>
      </c>
      <c r="D371" t="s">
        <v>118</v>
      </c>
    </row>
    <row r="372" spans="1:4" x14ac:dyDescent="0.25">
      <c r="A372" t="s">
        <v>560</v>
      </c>
      <c r="B372" t="s">
        <v>586</v>
      </c>
      <c r="C372" t="s">
        <v>1013</v>
      </c>
      <c r="D372" t="s">
        <v>121</v>
      </c>
    </row>
    <row r="373" spans="1:4" x14ac:dyDescent="0.25">
      <c r="A373" t="s">
        <v>560</v>
      </c>
      <c r="B373" t="s">
        <v>586</v>
      </c>
      <c r="C373" t="s">
        <v>1016</v>
      </c>
      <c r="D373" t="s">
        <v>121</v>
      </c>
    </row>
    <row r="374" spans="1:4" x14ac:dyDescent="0.25">
      <c r="A374" t="s">
        <v>560</v>
      </c>
      <c r="B374" t="s">
        <v>600</v>
      </c>
      <c r="C374" t="s">
        <v>1017</v>
      </c>
      <c r="D374" t="s">
        <v>142</v>
      </c>
    </row>
    <row r="375" spans="1:4" x14ac:dyDescent="0.25">
      <c r="A375" t="s">
        <v>560</v>
      </c>
      <c r="B375" t="s">
        <v>561</v>
      </c>
      <c r="C375" t="s">
        <v>1020</v>
      </c>
      <c r="D375" t="s">
        <v>123</v>
      </c>
    </row>
    <row r="376" spans="1:4" x14ac:dyDescent="0.25">
      <c r="A376" t="s">
        <v>560</v>
      </c>
      <c r="B376" t="s">
        <v>586</v>
      </c>
      <c r="C376" t="s">
        <v>1021</v>
      </c>
      <c r="D376" t="s">
        <v>121</v>
      </c>
    </row>
    <row r="377" spans="1:4" x14ac:dyDescent="0.25">
      <c r="A377" t="s">
        <v>560</v>
      </c>
      <c r="B377" t="s">
        <v>581</v>
      </c>
      <c r="C377" t="s">
        <v>1024</v>
      </c>
      <c r="D377" t="s">
        <v>151</v>
      </c>
    </row>
    <row r="378" spans="1:4" x14ac:dyDescent="0.25">
      <c r="A378" t="s">
        <v>560</v>
      </c>
      <c r="B378" t="s">
        <v>586</v>
      </c>
      <c r="C378" t="s">
        <v>1026</v>
      </c>
      <c r="D378" t="s">
        <v>121</v>
      </c>
    </row>
    <row r="379" spans="1:4" x14ac:dyDescent="0.25">
      <c r="A379" t="s">
        <v>560</v>
      </c>
      <c r="B379" t="s">
        <v>584</v>
      </c>
      <c r="C379" t="s">
        <v>1028</v>
      </c>
      <c r="D379" t="s">
        <v>118</v>
      </c>
    </row>
    <row r="380" spans="1:4" x14ac:dyDescent="0.25">
      <c r="A380" t="s">
        <v>560</v>
      </c>
      <c r="B380" t="s">
        <v>586</v>
      </c>
      <c r="C380" t="s">
        <v>1032</v>
      </c>
      <c r="D380" t="s">
        <v>121</v>
      </c>
    </row>
    <row r="381" spans="1:4" x14ac:dyDescent="0.25">
      <c r="A381" t="s">
        <v>560</v>
      </c>
      <c r="B381" t="s">
        <v>586</v>
      </c>
      <c r="C381" t="s">
        <v>1033</v>
      </c>
      <c r="D381" t="s">
        <v>121</v>
      </c>
    </row>
    <row r="382" spans="1:4" x14ac:dyDescent="0.25">
      <c r="A382" t="s">
        <v>560</v>
      </c>
      <c r="B382" t="s">
        <v>586</v>
      </c>
      <c r="C382" t="s">
        <v>1034</v>
      </c>
      <c r="D382" t="s">
        <v>121</v>
      </c>
    </row>
    <row r="383" spans="1:4" x14ac:dyDescent="0.25">
      <c r="A383" t="s">
        <v>560</v>
      </c>
      <c r="B383" t="s">
        <v>581</v>
      </c>
      <c r="C383" t="s">
        <v>1042</v>
      </c>
      <c r="D383" t="s">
        <v>151</v>
      </c>
    </row>
    <row r="384" spans="1:4" x14ac:dyDescent="0.25">
      <c r="A384" t="s">
        <v>560</v>
      </c>
      <c r="B384" t="s">
        <v>581</v>
      </c>
      <c r="C384" t="s">
        <v>1056</v>
      </c>
      <c r="D384" t="s">
        <v>151</v>
      </c>
    </row>
    <row r="385" spans="1:4" x14ac:dyDescent="0.25">
      <c r="A385" t="s">
        <v>560</v>
      </c>
      <c r="B385" t="s">
        <v>581</v>
      </c>
      <c r="C385" t="s">
        <v>1057</v>
      </c>
      <c r="D385" t="s">
        <v>151</v>
      </c>
    </row>
    <row r="386" spans="1:4" x14ac:dyDescent="0.25">
      <c r="A386" t="s">
        <v>560</v>
      </c>
      <c r="B386" t="s">
        <v>600</v>
      </c>
      <c r="C386" t="s">
        <v>1070</v>
      </c>
      <c r="D386" t="s">
        <v>142</v>
      </c>
    </row>
    <row r="387" spans="1:4" x14ac:dyDescent="0.25">
      <c r="A387" t="s">
        <v>560</v>
      </c>
      <c r="B387" t="s">
        <v>586</v>
      </c>
      <c r="C387" t="s">
        <v>1071</v>
      </c>
      <c r="D387" t="s">
        <v>121</v>
      </c>
    </row>
    <row r="388" spans="1:4" x14ac:dyDescent="0.25">
      <c r="A388" t="s">
        <v>560</v>
      </c>
      <c r="B388" t="s">
        <v>586</v>
      </c>
      <c r="C388" t="s">
        <v>1072</v>
      </c>
      <c r="D388" t="s">
        <v>121</v>
      </c>
    </row>
    <row r="389" spans="1:4" x14ac:dyDescent="0.25">
      <c r="A389" t="s">
        <v>560</v>
      </c>
      <c r="B389" t="s">
        <v>586</v>
      </c>
      <c r="C389" t="s">
        <v>1073</v>
      </c>
      <c r="D389" t="s">
        <v>121</v>
      </c>
    </row>
    <row r="390" spans="1:4" x14ac:dyDescent="0.25">
      <c r="A390" t="s">
        <v>560</v>
      </c>
      <c r="B390" t="s">
        <v>586</v>
      </c>
      <c r="C390" t="s">
        <v>1074</v>
      </c>
      <c r="D390" t="s">
        <v>121</v>
      </c>
    </row>
    <row r="391" spans="1:4" x14ac:dyDescent="0.25">
      <c r="A391" t="s">
        <v>560</v>
      </c>
      <c r="B391" t="s">
        <v>586</v>
      </c>
      <c r="C391" t="s">
        <v>1075</v>
      </c>
      <c r="D391" t="s">
        <v>121</v>
      </c>
    </row>
    <row r="392" spans="1:4" x14ac:dyDescent="0.25">
      <c r="A392" t="s">
        <v>560</v>
      </c>
      <c r="B392" t="s">
        <v>586</v>
      </c>
      <c r="C392" t="s">
        <v>1076</v>
      </c>
      <c r="D392" t="s">
        <v>121</v>
      </c>
    </row>
    <row r="393" spans="1:4" x14ac:dyDescent="0.25">
      <c r="A393" t="s">
        <v>560</v>
      </c>
      <c r="B393" t="s">
        <v>600</v>
      </c>
      <c r="C393" t="s">
        <v>1077</v>
      </c>
      <c r="D393" t="s">
        <v>142</v>
      </c>
    </row>
    <row r="394" spans="1:4" x14ac:dyDescent="0.25">
      <c r="A394" t="s">
        <v>560</v>
      </c>
      <c r="B394" t="s">
        <v>1025</v>
      </c>
      <c r="C394" t="s">
        <v>1078</v>
      </c>
      <c r="D394" t="s">
        <v>121</v>
      </c>
    </row>
    <row r="395" spans="1:4" x14ac:dyDescent="0.25">
      <c r="A395" t="s">
        <v>560</v>
      </c>
      <c r="B395" t="s">
        <v>586</v>
      </c>
      <c r="C395" t="s">
        <v>1079</v>
      </c>
      <c r="D395" t="s">
        <v>121</v>
      </c>
    </row>
    <row r="396" spans="1:4" x14ac:dyDescent="0.25">
      <c r="A396" t="s">
        <v>560</v>
      </c>
      <c r="B396" t="s">
        <v>584</v>
      </c>
      <c r="C396" t="s">
        <v>595</v>
      </c>
      <c r="D396" t="s">
        <v>118</v>
      </c>
    </row>
    <row r="397" spans="1:4" x14ac:dyDescent="0.25">
      <c r="A397" t="s">
        <v>560</v>
      </c>
      <c r="B397" t="s">
        <v>586</v>
      </c>
      <c r="C397" t="s">
        <v>1081</v>
      </c>
      <c r="D397" t="s">
        <v>121</v>
      </c>
    </row>
    <row r="398" spans="1:4" x14ac:dyDescent="0.25">
      <c r="A398" t="s">
        <v>560</v>
      </c>
      <c r="B398" t="s">
        <v>600</v>
      </c>
      <c r="C398" t="s">
        <v>1082</v>
      </c>
      <c r="D398" t="s">
        <v>142</v>
      </c>
    </row>
    <row r="399" spans="1:4" x14ac:dyDescent="0.25">
      <c r="A399" t="s">
        <v>560</v>
      </c>
      <c r="B399" t="s">
        <v>603</v>
      </c>
      <c r="C399" t="s">
        <v>1085</v>
      </c>
      <c r="D399" t="s">
        <v>121</v>
      </c>
    </row>
    <row r="400" spans="1:4" x14ac:dyDescent="0.25">
      <c r="A400" t="s">
        <v>560</v>
      </c>
      <c r="B400" t="s">
        <v>586</v>
      </c>
      <c r="C400" t="s">
        <v>1087</v>
      </c>
      <c r="D400" t="s">
        <v>121</v>
      </c>
    </row>
    <row r="401" spans="1:4" x14ac:dyDescent="0.25">
      <c r="A401" t="s">
        <v>560</v>
      </c>
      <c r="B401" t="s">
        <v>586</v>
      </c>
      <c r="C401" t="s">
        <v>1088</v>
      </c>
      <c r="D401" t="s">
        <v>121</v>
      </c>
    </row>
    <row r="402" spans="1:4" x14ac:dyDescent="0.25">
      <c r="A402" t="s">
        <v>560</v>
      </c>
      <c r="B402" t="s">
        <v>586</v>
      </c>
      <c r="C402" t="s">
        <v>1089</v>
      </c>
      <c r="D402" t="s">
        <v>121</v>
      </c>
    </row>
    <row r="403" spans="1:4" x14ac:dyDescent="0.25">
      <c r="A403" t="s">
        <v>560</v>
      </c>
      <c r="B403" t="s">
        <v>586</v>
      </c>
      <c r="C403" t="s">
        <v>1090</v>
      </c>
      <c r="D403" t="s">
        <v>121</v>
      </c>
    </row>
    <row r="404" spans="1:4" x14ac:dyDescent="0.25">
      <c r="A404" t="s">
        <v>560</v>
      </c>
      <c r="B404" t="s">
        <v>586</v>
      </c>
      <c r="C404" t="s">
        <v>1091</v>
      </c>
      <c r="D404" t="s">
        <v>121</v>
      </c>
    </row>
    <row r="405" spans="1:4" x14ac:dyDescent="0.25">
      <c r="A405" t="s">
        <v>560</v>
      </c>
      <c r="B405" t="s">
        <v>586</v>
      </c>
      <c r="C405" t="s">
        <v>1094</v>
      </c>
      <c r="D405" t="s">
        <v>121</v>
      </c>
    </row>
    <row r="406" spans="1:4" x14ac:dyDescent="0.25">
      <c r="A406" t="s">
        <v>560</v>
      </c>
      <c r="B406" t="s">
        <v>586</v>
      </c>
      <c r="C406" t="s">
        <v>1097</v>
      </c>
      <c r="D406" t="s">
        <v>121</v>
      </c>
    </row>
    <row r="407" spans="1:4" x14ac:dyDescent="0.25">
      <c r="A407" t="s">
        <v>560</v>
      </c>
      <c r="B407" t="s">
        <v>579</v>
      </c>
      <c r="C407" t="s">
        <v>1098</v>
      </c>
      <c r="D407" t="s">
        <v>121</v>
      </c>
    </row>
    <row r="408" spans="1:4" x14ac:dyDescent="0.25">
      <c r="A408" t="s">
        <v>560</v>
      </c>
      <c r="B408" t="s">
        <v>603</v>
      </c>
      <c r="C408" t="s">
        <v>1099</v>
      </c>
      <c r="D408" t="s">
        <v>121</v>
      </c>
    </row>
    <row r="409" spans="1:4" x14ac:dyDescent="0.25">
      <c r="A409" t="s">
        <v>560</v>
      </c>
      <c r="B409" t="s">
        <v>586</v>
      </c>
      <c r="C409" t="s">
        <v>1102</v>
      </c>
      <c r="D409" t="s">
        <v>121</v>
      </c>
    </row>
    <row r="410" spans="1:4" x14ac:dyDescent="0.25">
      <c r="A410" t="s">
        <v>560</v>
      </c>
      <c r="B410" t="s">
        <v>586</v>
      </c>
      <c r="C410" t="s">
        <v>1103</v>
      </c>
      <c r="D410" t="s">
        <v>121</v>
      </c>
    </row>
    <row r="411" spans="1:4" x14ac:dyDescent="0.25">
      <c r="A411" t="s">
        <v>560</v>
      </c>
      <c r="B411" t="s">
        <v>586</v>
      </c>
      <c r="C411" t="s">
        <v>1106</v>
      </c>
      <c r="D411" t="s">
        <v>121</v>
      </c>
    </row>
    <row r="412" spans="1:4" x14ac:dyDescent="0.25">
      <c r="A412" t="s">
        <v>560</v>
      </c>
      <c r="B412" t="s">
        <v>842</v>
      </c>
      <c r="C412" t="s">
        <v>1107</v>
      </c>
      <c r="D412" t="s">
        <v>142</v>
      </c>
    </row>
    <row r="413" spans="1:4" x14ac:dyDescent="0.25">
      <c r="A413" t="s">
        <v>560</v>
      </c>
      <c r="B413" t="s">
        <v>586</v>
      </c>
      <c r="C413" t="s">
        <v>1110</v>
      </c>
      <c r="D413" t="s">
        <v>121</v>
      </c>
    </row>
    <row r="414" spans="1:4" x14ac:dyDescent="0.25">
      <c r="A414" t="s">
        <v>560</v>
      </c>
      <c r="B414" t="s">
        <v>586</v>
      </c>
      <c r="C414" t="s">
        <v>1111</v>
      </c>
      <c r="D414" t="s">
        <v>121</v>
      </c>
    </row>
    <row r="415" spans="1:4" x14ac:dyDescent="0.25">
      <c r="A415" t="s">
        <v>560</v>
      </c>
      <c r="B415" t="s">
        <v>586</v>
      </c>
      <c r="C415" t="s">
        <v>1112</v>
      </c>
      <c r="D415" t="s">
        <v>121</v>
      </c>
    </row>
    <row r="416" spans="1:4" x14ac:dyDescent="0.25">
      <c r="A416" t="s">
        <v>560</v>
      </c>
      <c r="B416" t="s">
        <v>600</v>
      </c>
      <c r="C416" t="s">
        <v>1113</v>
      </c>
      <c r="D416" t="s">
        <v>142</v>
      </c>
    </row>
    <row r="417" spans="1:4" x14ac:dyDescent="0.25">
      <c r="A417" t="s">
        <v>560</v>
      </c>
      <c r="B417" t="s">
        <v>561</v>
      </c>
      <c r="C417" t="s">
        <v>1118</v>
      </c>
      <c r="D417" t="s">
        <v>123</v>
      </c>
    </row>
    <row r="418" spans="1:4" x14ac:dyDescent="0.25">
      <c r="A418" t="s">
        <v>560</v>
      </c>
      <c r="B418" t="s">
        <v>561</v>
      </c>
      <c r="C418" t="s">
        <v>1119</v>
      </c>
      <c r="D418" t="s">
        <v>123</v>
      </c>
    </row>
    <row r="419" spans="1:4" x14ac:dyDescent="0.25">
      <c r="A419" t="s">
        <v>560</v>
      </c>
      <c r="B419" t="s">
        <v>600</v>
      </c>
      <c r="C419" t="s">
        <v>1123</v>
      </c>
      <c r="D419" t="s">
        <v>142</v>
      </c>
    </row>
    <row r="420" spans="1:4" x14ac:dyDescent="0.25">
      <c r="A420" t="s">
        <v>560</v>
      </c>
      <c r="B420" t="s">
        <v>586</v>
      </c>
      <c r="C420" t="s">
        <v>1124</v>
      </c>
      <c r="D420" t="s">
        <v>121</v>
      </c>
    </row>
    <row r="421" spans="1:4" x14ac:dyDescent="0.25">
      <c r="A421" t="s">
        <v>560</v>
      </c>
      <c r="B421" t="s">
        <v>586</v>
      </c>
      <c r="C421" t="s">
        <v>1125</v>
      </c>
      <c r="D421" t="s">
        <v>121</v>
      </c>
    </row>
    <row r="422" spans="1:4" x14ac:dyDescent="0.25">
      <c r="A422" t="s">
        <v>560</v>
      </c>
      <c r="B422" t="s">
        <v>603</v>
      </c>
      <c r="C422" t="s">
        <v>1126</v>
      </c>
      <c r="D422" t="s">
        <v>121</v>
      </c>
    </row>
    <row r="423" spans="1:4" x14ac:dyDescent="0.25">
      <c r="A423" t="s">
        <v>560</v>
      </c>
      <c r="B423" t="s">
        <v>600</v>
      </c>
      <c r="C423" t="s">
        <v>1129</v>
      </c>
      <c r="D423" t="s">
        <v>142</v>
      </c>
    </row>
    <row r="424" spans="1:4" x14ac:dyDescent="0.25">
      <c r="A424" t="s">
        <v>560</v>
      </c>
      <c r="B424" t="s">
        <v>586</v>
      </c>
      <c r="C424" t="s">
        <v>1135</v>
      </c>
      <c r="D424" t="s">
        <v>121</v>
      </c>
    </row>
    <row r="425" spans="1:4" x14ac:dyDescent="0.25">
      <c r="A425" t="s">
        <v>560</v>
      </c>
      <c r="B425" t="s">
        <v>581</v>
      </c>
      <c r="C425" t="s">
        <v>1136</v>
      </c>
      <c r="D425" t="s">
        <v>151</v>
      </c>
    </row>
    <row r="426" spans="1:4" x14ac:dyDescent="0.25">
      <c r="A426" t="s">
        <v>560</v>
      </c>
      <c r="B426" t="s">
        <v>600</v>
      </c>
      <c r="C426" t="s">
        <v>1137</v>
      </c>
      <c r="D426" t="s">
        <v>142</v>
      </c>
    </row>
    <row r="427" spans="1:4" x14ac:dyDescent="0.25">
      <c r="A427" t="s">
        <v>560</v>
      </c>
      <c r="B427" t="s">
        <v>586</v>
      </c>
      <c r="C427" t="s">
        <v>1139</v>
      </c>
      <c r="D427" t="s">
        <v>121</v>
      </c>
    </row>
    <row r="428" spans="1:4" x14ac:dyDescent="0.25">
      <c r="A428" t="s">
        <v>560</v>
      </c>
      <c r="B428" t="s">
        <v>586</v>
      </c>
      <c r="C428" t="s">
        <v>1140</v>
      </c>
      <c r="D428" t="s">
        <v>121</v>
      </c>
    </row>
    <row r="429" spans="1:4" x14ac:dyDescent="0.25">
      <c r="A429" t="s">
        <v>560</v>
      </c>
      <c r="B429" t="s">
        <v>581</v>
      </c>
      <c r="C429" t="s">
        <v>1141</v>
      </c>
      <c r="D429" t="s">
        <v>151</v>
      </c>
    </row>
    <row r="430" spans="1:4" x14ac:dyDescent="0.25">
      <c r="A430" t="s">
        <v>560</v>
      </c>
      <c r="B430" t="s">
        <v>586</v>
      </c>
      <c r="C430" t="s">
        <v>1142</v>
      </c>
      <c r="D430" t="s">
        <v>121</v>
      </c>
    </row>
    <row r="431" spans="1:4" x14ac:dyDescent="0.25">
      <c r="A431" t="s">
        <v>560</v>
      </c>
      <c r="B431" t="s">
        <v>586</v>
      </c>
      <c r="C431" t="s">
        <v>1143</v>
      </c>
      <c r="D431" t="s">
        <v>121</v>
      </c>
    </row>
    <row r="432" spans="1:4" x14ac:dyDescent="0.25">
      <c r="A432" t="s">
        <v>560</v>
      </c>
      <c r="B432" t="s">
        <v>581</v>
      </c>
      <c r="C432" t="s">
        <v>1144</v>
      </c>
      <c r="D432" t="s">
        <v>151</v>
      </c>
    </row>
    <row r="433" spans="1:4" x14ac:dyDescent="0.25">
      <c r="A433" t="s">
        <v>560</v>
      </c>
      <c r="B433" t="s">
        <v>586</v>
      </c>
      <c r="C433" t="s">
        <v>1145</v>
      </c>
      <c r="D433" t="s">
        <v>121</v>
      </c>
    </row>
    <row r="434" spans="1:4" x14ac:dyDescent="0.25">
      <c r="A434" t="s">
        <v>560</v>
      </c>
      <c r="B434" t="s">
        <v>586</v>
      </c>
      <c r="C434" t="s">
        <v>1146</v>
      </c>
      <c r="D434" t="s">
        <v>121</v>
      </c>
    </row>
    <row r="435" spans="1:4" x14ac:dyDescent="0.25">
      <c r="A435" t="s">
        <v>560</v>
      </c>
      <c r="B435" t="s">
        <v>586</v>
      </c>
      <c r="C435" t="s">
        <v>1149</v>
      </c>
      <c r="D435" t="s">
        <v>121</v>
      </c>
    </row>
    <row r="436" spans="1:4" x14ac:dyDescent="0.25">
      <c r="A436" t="s">
        <v>560</v>
      </c>
      <c r="B436" t="s">
        <v>586</v>
      </c>
      <c r="C436" t="s">
        <v>1152</v>
      </c>
      <c r="D436" t="s">
        <v>121</v>
      </c>
    </row>
    <row r="437" spans="1:4" x14ac:dyDescent="0.25">
      <c r="A437" t="s">
        <v>560</v>
      </c>
      <c r="B437" t="s">
        <v>561</v>
      </c>
      <c r="C437" t="s">
        <v>1160</v>
      </c>
      <c r="D437" t="s">
        <v>123</v>
      </c>
    </row>
    <row r="438" spans="1:4" x14ac:dyDescent="0.25">
      <c r="A438" t="s">
        <v>560</v>
      </c>
      <c r="B438" t="s">
        <v>603</v>
      </c>
      <c r="C438" t="s">
        <v>1165</v>
      </c>
      <c r="D438" t="s">
        <v>121</v>
      </c>
    </row>
    <row r="439" spans="1:4" x14ac:dyDescent="0.25">
      <c r="A439" t="s">
        <v>560</v>
      </c>
      <c r="B439" t="s">
        <v>600</v>
      </c>
      <c r="C439" t="s">
        <v>1167</v>
      </c>
      <c r="D439" t="s">
        <v>142</v>
      </c>
    </row>
    <row r="440" spans="1:4" x14ac:dyDescent="0.25">
      <c r="A440" t="s">
        <v>560</v>
      </c>
      <c r="B440" t="s">
        <v>842</v>
      </c>
      <c r="C440" t="s">
        <v>1171</v>
      </c>
      <c r="D440" t="s">
        <v>142</v>
      </c>
    </row>
    <row r="441" spans="1:4" x14ac:dyDescent="0.25">
      <c r="A441" t="s">
        <v>560</v>
      </c>
      <c r="B441" t="s">
        <v>600</v>
      </c>
      <c r="C441" t="s">
        <v>977</v>
      </c>
      <c r="D441" t="s">
        <v>142</v>
      </c>
    </row>
    <row r="442" spans="1:4" x14ac:dyDescent="0.25">
      <c r="A442" t="s">
        <v>560</v>
      </c>
      <c r="B442" t="s">
        <v>600</v>
      </c>
      <c r="C442" t="s">
        <v>987</v>
      </c>
      <c r="D442" t="s">
        <v>142</v>
      </c>
    </row>
    <row r="443" spans="1:4" x14ac:dyDescent="0.25">
      <c r="A443" t="s">
        <v>560</v>
      </c>
      <c r="B443" t="s">
        <v>586</v>
      </c>
      <c r="C443" t="s">
        <v>1174</v>
      </c>
      <c r="D443" t="s">
        <v>121</v>
      </c>
    </row>
    <row r="444" spans="1:4" x14ac:dyDescent="0.25">
      <c r="A444" t="s">
        <v>683</v>
      </c>
      <c r="B444" t="s">
        <v>684</v>
      </c>
      <c r="C444" t="s">
        <v>685</v>
      </c>
      <c r="D444" t="s">
        <v>123</v>
      </c>
    </row>
    <row r="445" spans="1:4" x14ac:dyDescent="0.25">
      <c r="A445" t="s">
        <v>683</v>
      </c>
      <c r="B445" t="s">
        <v>430</v>
      </c>
      <c r="C445" t="s">
        <v>686</v>
      </c>
      <c r="D445" t="s">
        <v>123</v>
      </c>
    </row>
    <row r="446" spans="1:4" x14ac:dyDescent="0.25">
      <c r="A446" t="s">
        <v>683</v>
      </c>
      <c r="B446" t="s">
        <v>430</v>
      </c>
      <c r="C446" t="s">
        <v>687</v>
      </c>
      <c r="D446" t="s">
        <v>123</v>
      </c>
    </row>
    <row r="447" spans="1:4" x14ac:dyDescent="0.25">
      <c r="A447" t="s">
        <v>683</v>
      </c>
      <c r="B447" t="s">
        <v>430</v>
      </c>
      <c r="C447" t="s">
        <v>983</v>
      </c>
      <c r="D447" t="s">
        <v>123</v>
      </c>
    </row>
    <row r="448" spans="1:4" x14ac:dyDescent="0.25">
      <c r="A448" t="s">
        <v>683</v>
      </c>
      <c r="B448" t="s">
        <v>684</v>
      </c>
      <c r="C448" t="s">
        <v>1117</v>
      </c>
      <c r="D448" t="s">
        <v>123</v>
      </c>
    </row>
    <row r="449" spans="1:4" x14ac:dyDescent="0.25">
      <c r="A449" t="s">
        <v>504</v>
      </c>
      <c r="B449" t="s">
        <v>498</v>
      </c>
      <c r="C449" t="s">
        <v>505</v>
      </c>
      <c r="D449" t="s">
        <v>148</v>
      </c>
    </row>
    <row r="450" spans="1:4" x14ac:dyDescent="0.25">
      <c r="A450" t="s">
        <v>504</v>
      </c>
      <c r="B450" t="s">
        <v>506</v>
      </c>
      <c r="C450" t="s">
        <v>507</v>
      </c>
      <c r="D450" t="s">
        <v>148</v>
      </c>
    </row>
    <row r="451" spans="1:4" x14ac:dyDescent="0.25">
      <c r="A451" t="s">
        <v>504</v>
      </c>
      <c r="B451" t="s">
        <v>508</v>
      </c>
      <c r="C451" t="s">
        <v>509</v>
      </c>
      <c r="D451" t="s">
        <v>148</v>
      </c>
    </row>
    <row r="452" spans="1:4" x14ac:dyDescent="0.25">
      <c r="A452" t="s">
        <v>504</v>
      </c>
      <c r="B452" t="s">
        <v>508</v>
      </c>
      <c r="C452" t="s">
        <v>510</v>
      </c>
      <c r="D452" t="s">
        <v>148</v>
      </c>
    </row>
    <row r="453" spans="1:4" x14ac:dyDescent="0.25">
      <c r="A453" t="s">
        <v>504</v>
      </c>
      <c r="B453" t="s">
        <v>508</v>
      </c>
      <c r="C453" t="s">
        <v>556</v>
      </c>
      <c r="D453" t="s">
        <v>148</v>
      </c>
    </row>
    <row r="454" spans="1:4" x14ac:dyDescent="0.25">
      <c r="A454" t="s">
        <v>504</v>
      </c>
      <c r="B454" t="s">
        <v>508</v>
      </c>
      <c r="C454" t="s">
        <v>557</v>
      </c>
      <c r="D454" t="s">
        <v>148</v>
      </c>
    </row>
    <row r="455" spans="1:4" x14ac:dyDescent="0.25">
      <c r="A455" t="s">
        <v>504</v>
      </c>
      <c r="B455" t="s">
        <v>508</v>
      </c>
      <c r="C455" t="s">
        <v>558</v>
      </c>
      <c r="D455" t="s">
        <v>148</v>
      </c>
    </row>
    <row r="456" spans="1:4" x14ac:dyDescent="0.25">
      <c r="A456" t="s">
        <v>504</v>
      </c>
      <c r="B456" t="s">
        <v>508</v>
      </c>
      <c r="C456" t="s">
        <v>559</v>
      </c>
      <c r="D456" t="s">
        <v>148</v>
      </c>
    </row>
    <row r="457" spans="1:4" x14ac:dyDescent="0.25">
      <c r="A457" t="s">
        <v>504</v>
      </c>
      <c r="B457" t="s">
        <v>508</v>
      </c>
      <c r="C457" t="s">
        <v>464</v>
      </c>
      <c r="D457" t="s">
        <v>148</v>
      </c>
    </row>
    <row r="458" spans="1:4" x14ac:dyDescent="0.25">
      <c r="A458" t="s">
        <v>504</v>
      </c>
      <c r="B458" t="s">
        <v>688</v>
      </c>
      <c r="C458" t="s">
        <v>689</v>
      </c>
      <c r="D458" t="s">
        <v>148</v>
      </c>
    </row>
    <row r="459" spans="1:4" x14ac:dyDescent="0.25">
      <c r="A459" t="s">
        <v>504</v>
      </c>
      <c r="B459" t="s">
        <v>688</v>
      </c>
      <c r="C459" t="s">
        <v>693</v>
      </c>
      <c r="D459" t="s">
        <v>148</v>
      </c>
    </row>
    <row r="460" spans="1:4" x14ac:dyDescent="0.25">
      <c r="A460" t="s">
        <v>504</v>
      </c>
      <c r="B460" t="s">
        <v>688</v>
      </c>
      <c r="C460" t="s">
        <v>694</v>
      </c>
      <c r="D460" t="s">
        <v>148</v>
      </c>
    </row>
    <row r="461" spans="1:4" x14ac:dyDescent="0.25">
      <c r="A461" t="s">
        <v>504</v>
      </c>
      <c r="B461" t="s">
        <v>688</v>
      </c>
      <c r="C461" t="s">
        <v>464</v>
      </c>
      <c r="D461" t="s">
        <v>148</v>
      </c>
    </row>
    <row r="462" spans="1:4" x14ac:dyDescent="0.25">
      <c r="A462" t="s">
        <v>504</v>
      </c>
      <c r="B462" t="s">
        <v>688</v>
      </c>
      <c r="C462" t="s">
        <v>824</v>
      </c>
      <c r="D462" t="s">
        <v>148</v>
      </c>
    </row>
    <row r="463" spans="1:4" x14ac:dyDescent="0.25">
      <c r="A463" t="s">
        <v>504</v>
      </c>
      <c r="B463" t="s">
        <v>508</v>
      </c>
      <c r="C463" t="s">
        <v>832</v>
      </c>
      <c r="D463" t="s">
        <v>148</v>
      </c>
    </row>
    <row r="464" spans="1:4" x14ac:dyDescent="0.25">
      <c r="A464" t="s">
        <v>504</v>
      </c>
      <c r="B464" t="s">
        <v>508</v>
      </c>
      <c r="C464" t="s">
        <v>835</v>
      </c>
      <c r="D464" t="s">
        <v>148</v>
      </c>
    </row>
    <row r="465" spans="1:4" x14ac:dyDescent="0.25">
      <c r="A465" t="s">
        <v>504</v>
      </c>
      <c r="B465" t="s">
        <v>508</v>
      </c>
      <c r="C465" t="s">
        <v>837</v>
      </c>
      <c r="D465" t="s">
        <v>148</v>
      </c>
    </row>
    <row r="466" spans="1:4" x14ac:dyDescent="0.25">
      <c r="A466" t="s">
        <v>504</v>
      </c>
      <c r="B466" t="s">
        <v>508</v>
      </c>
      <c r="C466" t="s">
        <v>845</v>
      </c>
      <c r="D466" t="s">
        <v>148</v>
      </c>
    </row>
    <row r="467" spans="1:4" x14ac:dyDescent="0.25">
      <c r="A467" t="s">
        <v>504</v>
      </c>
      <c r="B467" t="s">
        <v>688</v>
      </c>
      <c r="C467" t="s">
        <v>848</v>
      </c>
      <c r="D467" t="s">
        <v>148</v>
      </c>
    </row>
    <row r="468" spans="1:4" x14ac:dyDescent="0.25">
      <c r="A468" t="s">
        <v>504</v>
      </c>
      <c r="B468" t="s">
        <v>508</v>
      </c>
      <c r="C468" t="s">
        <v>865</v>
      </c>
      <c r="D468" t="s">
        <v>148</v>
      </c>
    </row>
    <row r="469" spans="1:4" x14ac:dyDescent="0.25">
      <c r="A469" t="s">
        <v>504</v>
      </c>
      <c r="B469" t="s">
        <v>508</v>
      </c>
      <c r="C469" t="s">
        <v>882</v>
      </c>
      <c r="D469" t="s">
        <v>148</v>
      </c>
    </row>
    <row r="470" spans="1:4" x14ac:dyDescent="0.25">
      <c r="A470" t="s">
        <v>504</v>
      </c>
      <c r="B470" t="s">
        <v>508</v>
      </c>
      <c r="C470" t="s">
        <v>883</v>
      </c>
      <c r="D470" t="s">
        <v>148</v>
      </c>
    </row>
    <row r="471" spans="1:4" x14ac:dyDescent="0.25">
      <c r="A471" t="s">
        <v>504</v>
      </c>
      <c r="B471" t="s">
        <v>508</v>
      </c>
      <c r="C471" t="s">
        <v>901</v>
      </c>
      <c r="D471" t="s">
        <v>148</v>
      </c>
    </row>
    <row r="472" spans="1:4" x14ac:dyDescent="0.25">
      <c r="A472" t="s">
        <v>504</v>
      </c>
      <c r="B472" t="s">
        <v>498</v>
      </c>
      <c r="C472" t="s">
        <v>499</v>
      </c>
      <c r="D472" t="s">
        <v>148</v>
      </c>
    </row>
    <row r="473" spans="1:4" x14ac:dyDescent="0.25">
      <c r="A473" t="s">
        <v>504</v>
      </c>
      <c r="B473" t="s">
        <v>971</v>
      </c>
      <c r="C473" t="s">
        <v>837</v>
      </c>
      <c r="D473" t="s">
        <v>148</v>
      </c>
    </row>
    <row r="474" spans="1:4" x14ac:dyDescent="0.25">
      <c r="A474" t="s">
        <v>504</v>
      </c>
      <c r="B474" t="s">
        <v>688</v>
      </c>
      <c r="C474" t="s">
        <v>974</v>
      </c>
      <c r="D474" t="s">
        <v>148</v>
      </c>
    </row>
    <row r="475" spans="1:4" x14ac:dyDescent="0.25">
      <c r="A475" t="s">
        <v>504</v>
      </c>
      <c r="B475" t="s">
        <v>688</v>
      </c>
      <c r="C475" t="s">
        <v>982</v>
      </c>
      <c r="D475" t="s">
        <v>148</v>
      </c>
    </row>
    <row r="476" spans="1:4" x14ac:dyDescent="0.25">
      <c r="A476" t="s">
        <v>504</v>
      </c>
      <c r="B476" t="s">
        <v>508</v>
      </c>
      <c r="C476" t="s">
        <v>997</v>
      </c>
      <c r="D476" t="s">
        <v>148</v>
      </c>
    </row>
    <row r="477" spans="1:4" x14ac:dyDescent="0.25">
      <c r="A477" t="s">
        <v>504</v>
      </c>
      <c r="B477" t="s">
        <v>508</v>
      </c>
      <c r="C477" t="s">
        <v>998</v>
      </c>
      <c r="D477" t="s">
        <v>148</v>
      </c>
    </row>
    <row r="478" spans="1:4" x14ac:dyDescent="0.25">
      <c r="A478" t="s">
        <v>504</v>
      </c>
      <c r="B478" t="s">
        <v>508</v>
      </c>
      <c r="C478" t="s">
        <v>464</v>
      </c>
      <c r="D478" t="s">
        <v>121</v>
      </c>
    </row>
    <row r="479" spans="1:4" x14ac:dyDescent="0.25">
      <c r="A479" t="s">
        <v>504</v>
      </c>
      <c r="B479" t="s">
        <v>688</v>
      </c>
      <c r="C479" t="s">
        <v>1019</v>
      </c>
      <c r="D479" t="s">
        <v>148</v>
      </c>
    </row>
    <row r="480" spans="1:4" x14ac:dyDescent="0.25">
      <c r="A480" t="s">
        <v>1012</v>
      </c>
      <c r="B480" t="s">
        <v>508</v>
      </c>
      <c r="C480" t="s">
        <v>1023</v>
      </c>
      <c r="D480" t="s">
        <v>148</v>
      </c>
    </row>
    <row r="481" spans="1:4" x14ac:dyDescent="0.25">
      <c r="A481" t="s">
        <v>504</v>
      </c>
      <c r="B481" t="s">
        <v>688</v>
      </c>
      <c r="C481" t="s">
        <v>1043</v>
      </c>
      <c r="D481" t="s">
        <v>148</v>
      </c>
    </row>
    <row r="482" spans="1:4" x14ac:dyDescent="0.25">
      <c r="A482" t="s">
        <v>504</v>
      </c>
      <c r="B482" t="s">
        <v>688</v>
      </c>
      <c r="C482" t="s">
        <v>1051</v>
      </c>
      <c r="D482" t="s">
        <v>148</v>
      </c>
    </row>
    <row r="483" spans="1:4" x14ac:dyDescent="0.25">
      <c r="A483" t="s">
        <v>504</v>
      </c>
      <c r="B483" t="s">
        <v>506</v>
      </c>
      <c r="C483" t="s">
        <v>1053</v>
      </c>
      <c r="D483" t="s">
        <v>148</v>
      </c>
    </row>
    <row r="484" spans="1:4" x14ac:dyDescent="0.25">
      <c r="A484" t="s">
        <v>504</v>
      </c>
      <c r="B484" t="s">
        <v>688</v>
      </c>
      <c r="C484" t="s">
        <v>1065</v>
      </c>
      <c r="D484" t="s">
        <v>148</v>
      </c>
    </row>
    <row r="485" spans="1:4" x14ac:dyDescent="0.25">
      <c r="A485" t="s">
        <v>504</v>
      </c>
      <c r="B485" t="s">
        <v>688</v>
      </c>
      <c r="C485" t="s">
        <v>1066</v>
      </c>
      <c r="D485" t="s">
        <v>148</v>
      </c>
    </row>
    <row r="486" spans="1:4" x14ac:dyDescent="0.25">
      <c r="A486" t="s">
        <v>504</v>
      </c>
      <c r="B486" t="s">
        <v>688</v>
      </c>
      <c r="C486" t="s">
        <v>1067</v>
      </c>
      <c r="D486" t="s">
        <v>148</v>
      </c>
    </row>
    <row r="487" spans="1:4" x14ac:dyDescent="0.25">
      <c r="A487" t="s">
        <v>504</v>
      </c>
      <c r="B487" t="s">
        <v>508</v>
      </c>
      <c r="C487" t="s">
        <v>1155</v>
      </c>
      <c r="D487" t="s">
        <v>148</v>
      </c>
    </row>
    <row r="488" spans="1:4" x14ac:dyDescent="0.25">
      <c r="A488" t="s">
        <v>504</v>
      </c>
      <c r="B488" t="s">
        <v>688</v>
      </c>
      <c r="C488" t="s">
        <v>1163</v>
      </c>
      <c r="D488" t="s">
        <v>148</v>
      </c>
    </row>
    <row r="489" spans="1:4" x14ac:dyDescent="0.25">
      <c r="A489" t="s">
        <v>504</v>
      </c>
      <c r="B489" t="s">
        <v>498</v>
      </c>
      <c r="C489" t="s">
        <v>1173</v>
      </c>
      <c r="D489" t="s">
        <v>148</v>
      </c>
    </row>
    <row r="490" spans="1:4" x14ac:dyDescent="0.25">
      <c r="A490" t="s">
        <v>680</v>
      </c>
      <c r="B490" t="s">
        <v>681</v>
      </c>
      <c r="C490" t="s">
        <v>682</v>
      </c>
      <c r="D490" t="s">
        <v>151</v>
      </c>
    </row>
    <row r="491" spans="1:4" x14ac:dyDescent="0.25">
      <c r="A491" t="s">
        <v>690</v>
      </c>
      <c r="B491" t="s">
        <v>691</v>
      </c>
      <c r="C491" t="s">
        <v>692</v>
      </c>
      <c r="D491" t="s">
        <v>121</v>
      </c>
    </row>
    <row r="492" spans="1:4" x14ac:dyDescent="0.25">
      <c r="A492" t="s">
        <v>690</v>
      </c>
      <c r="B492" t="s">
        <v>691</v>
      </c>
      <c r="C492" t="s">
        <v>464</v>
      </c>
      <c r="D492" t="s">
        <v>121</v>
      </c>
    </row>
    <row r="493" spans="1:4" x14ac:dyDescent="0.25">
      <c r="A493" t="s">
        <v>690</v>
      </c>
      <c r="B493" t="s">
        <v>691</v>
      </c>
      <c r="C493" t="s">
        <v>692</v>
      </c>
      <c r="D493" t="s">
        <v>816</v>
      </c>
    </row>
    <row r="494" spans="1:4" x14ac:dyDescent="0.25">
      <c r="A494" t="s">
        <v>690</v>
      </c>
      <c r="B494" t="s">
        <v>691</v>
      </c>
      <c r="C494" t="s">
        <v>464</v>
      </c>
      <c r="D494" t="s">
        <v>816</v>
      </c>
    </row>
    <row r="495" spans="1:4" x14ac:dyDescent="0.25">
      <c r="A495" t="s">
        <v>497</v>
      </c>
      <c r="B495" t="s">
        <v>498</v>
      </c>
      <c r="C495" t="s">
        <v>499</v>
      </c>
      <c r="D495" t="s">
        <v>148</v>
      </c>
    </row>
    <row r="496" spans="1:4" x14ac:dyDescent="0.25">
      <c r="A496" t="s">
        <v>497</v>
      </c>
      <c r="B496" t="s">
        <v>498</v>
      </c>
      <c r="C496" t="s">
        <v>500</v>
      </c>
      <c r="D496" t="s">
        <v>148</v>
      </c>
    </row>
    <row r="497" spans="1:4" x14ac:dyDescent="0.25">
      <c r="A497" t="s">
        <v>497</v>
      </c>
      <c r="B497" t="s">
        <v>498</v>
      </c>
      <c r="C497" t="s">
        <v>464</v>
      </c>
      <c r="D497" t="s">
        <v>148</v>
      </c>
    </row>
    <row r="498" spans="1:4" x14ac:dyDescent="0.25">
      <c r="A498" t="s">
        <v>823</v>
      </c>
      <c r="B498" t="s">
        <v>498</v>
      </c>
      <c r="C498" t="s">
        <v>1068</v>
      </c>
      <c r="D498" t="s">
        <v>148</v>
      </c>
    </row>
    <row r="499" spans="1:4" x14ac:dyDescent="0.25">
      <c r="A499" t="s">
        <v>823</v>
      </c>
      <c r="B499" t="s">
        <v>498</v>
      </c>
      <c r="C499" t="s">
        <v>1164</v>
      </c>
      <c r="D499" t="s">
        <v>148</v>
      </c>
    </row>
    <row r="500" spans="1:4" x14ac:dyDescent="0.25">
      <c r="A500" t="s">
        <v>698</v>
      </c>
      <c r="B500" t="s">
        <v>699</v>
      </c>
      <c r="C500" t="s">
        <v>700</v>
      </c>
      <c r="D500" t="s">
        <v>157</v>
      </c>
    </row>
    <row r="501" spans="1:4" x14ac:dyDescent="0.25">
      <c r="A501" t="s">
        <v>698</v>
      </c>
      <c r="B501" t="s">
        <v>746</v>
      </c>
      <c r="C501" t="s">
        <v>749</v>
      </c>
      <c r="D501" t="s">
        <v>157</v>
      </c>
    </row>
    <row r="502" spans="1:4" x14ac:dyDescent="0.25">
      <c r="A502" t="s">
        <v>698</v>
      </c>
      <c r="B502" t="s">
        <v>699</v>
      </c>
      <c r="C502" t="s">
        <v>751</v>
      </c>
      <c r="D502" t="s">
        <v>157</v>
      </c>
    </row>
    <row r="503" spans="1:4" x14ac:dyDescent="0.25">
      <c r="A503" t="s">
        <v>701</v>
      </c>
      <c r="B503" t="s">
        <v>702</v>
      </c>
      <c r="C503" t="s">
        <v>703</v>
      </c>
      <c r="D503" t="s">
        <v>118</v>
      </c>
    </row>
    <row r="504" spans="1:4" x14ac:dyDescent="0.25">
      <c r="A504" t="s">
        <v>701</v>
      </c>
      <c r="B504" t="s">
        <v>702</v>
      </c>
      <c r="C504" t="s">
        <v>704</v>
      </c>
      <c r="D504" t="s">
        <v>118</v>
      </c>
    </row>
    <row r="505" spans="1:4" x14ac:dyDescent="0.25">
      <c r="A505" t="s">
        <v>701</v>
      </c>
      <c r="B505" t="s">
        <v>702</v>
      </c>
      <c r="C505" t="s">
        <v>705</v>
      </c>
      <c r="D505" t="s">
        <v>118</v>
      </c>
    </row>
    <row r="506" spans="1:4" x14ac:dyDescent="0.25">
      <c r="A506" t="s">
        <v>701</v>
      </c>
      <c r="B506" t="s">
        <v>702</v>
      </c>
      <c r="C506" t="s">
        <v>706</v>
      </c>
      <c r="D506" t="s">
        <v>118</v>
      </c>
    </row>
    <row r="507" spans="1:4" x14ac:dyDescent="0.25">
      <c r="A507" t="s">
        <v>707</v>
      </c>
      <c r="B507" t="s">
        <v>702</v>
      </c>
      <c r="C507" t="s">
        <v>708</v>
      </c>
      <c r="D507" t="s">
        <v>118</v>
      </c>
    </row>
    <row r="508" spans="1:4" x14ac:dyDescent="0.25">
      <c r="A508" t="s">
        <v>707</v>
      </c>
      <c r="B508" t="s">
        <v>702</v>
      </c>
      <c r="C508" t="s">
        <v>709</v>
      </c>
      <c r="D508" t="s">
        <v>118</v>
      </c>
    </row>
    <row r="509" spans="1:4" x14ac:dyDescent="0.25">
      <c r="A509" t="s">
        <v>707</v>
      </c>
      <c r="B509" t="s">
        <v>521</v>
      </c>
      <c r="C509" t="s">
        <v>710</v>
      </c>
      <c r="D509" t="s">
        <v>118</v>
      </c>
    </row>
    <row r="510" spans="1:4" x14ac:dyDescent="0.25">
      <c r="A510" t="s">
        <v>707</v>
      </c>
      <c r="B510" t="s">
        <v>521</v>
      </c>
      <c r="C510" t="s">
        <v>711</v>
      </c>
      <c r="D510" t="s">
        <v>118</v>
      </c>
    </row>
    <row r="511" spans="1:4" x14ac:dyDescent="0.25">
      <c r="A511" t="s">
        <v>707</v>
      </c>
      <c r="B511" t="s">
        <v>521</v>
      </c>
      <c r="C511" t="s">
        <v>712</v>
      </c>
      <c r="D511" t="s">
        <v>118</v>
      </c>
    </row>
    <row r="512" spans="1:4" x14ac:dyDescent="0.25">
      <c r="A512" t="s">
        <v>701</v>
      </c>
      <c r="B512" t="s">
        <v>521</v>
      </c>
      <c r="C512" t="s">
        <v>713</v>
      </c>
      <c r="D512" t="s">
        <v>118</v>
      </c>
    </row>
    <row r="513" spans="1:4" x14ac:dyDescent="0.25">
      <c r="A513" t="s">
        <v>701</v>
      </c>
      <c r="B513" t="s">
        <v>521</v>
      </c>
      <c r="C513" t="s">
        <v>714</v>
      </c>
      <c r="D513" t="s">
        <v>118</v>
      </c>
    </row>
    <row r="514" spans="1:4" x14ac:dyDescent="0.25">
      <c r="A514" t="s">
        <v>701</v>
      </c>
      <c r="B514" t="s">
        <v>521</v>
      </c>
      <c r="C514" t="s">
        <v>715</v>
      </c>
      <c r="D514" t="s">
        <v>118</v>
      </c>
    </row>
    <row r="515" spans="1:4" x14ac:dyDescent="0.25">
      <c r="A515" t="s">
        <v>701</v>
      </c>
      <c r="B515" t="s">
        <v>743</v>
      </c>
      <c r="C515" t="s">
        <v>743</v>
      </c>
      <c r="D515" t="s">
        <v>118</v>
      </c>
    </row>
    <row r="516" spans="1:4" x14ac:dyDescent="0.25">
      <c r="A516" t="s">
        <v>701</v>
      </c>
      <c r="B516" t="s">
        <v>701</v>
      </c>
      <c r="C516" t="s">
        <v>701</v>
      </c>
      <c r="D516" t="s">
        <v>118</v>
      </c>
    </row>
    <row r="517" spans="1:4" x14ac:dyDescent="0.25">
      <c r="A517" t="s">
        <v>701</v>
      </c>
      <c r="B517" t="s">
        <v>702</v>
      </c>
      <c r="C517" t="s">
        <v>864</v>
      </c>
      <c r="D517" t="s">
        <v>118</v>
      </c>
    </row>
    <row r="518" spans="1:4" x14ac:dyDescent="0.25">
      <c r="A518" t="s">
        <v>701</v>
      </c>
      <c r="B518" t="s">
        <v>702</v>
      </c>
      <c r="C518" t="s">
        <v>1154</v>
      </c>
      <c r="D518" t="s">
        <v>118</v>
      </c>
    </row>
    <row r="519" spans="1:4" x14ac:dyDescent="0.25">
      <c r="A519" t="s">
        <v>1060</v>
      </c>
      <c r="B519" t="s">
        <v>1061</v>
      </c>
      <c r="C519" t="s">
        <v>1062</v>
      </c>
      <c r="D519" t="s">
        <v>148</v>
      </c>
    </row>
    <row r="520" spans="1:4" x14ac:dyDescent="0.25">
      <c r="A520" t="s">
        <v>716</v>
      </c>
      <c r="B520" t="s">
        <v>717</v>
      </c>
      <c r="C520" t="s">
        <v>718</v>
      </c>
      <c r="D520" t="s">
        <v>123</v>
      </c>
    </row>
    <row r="521" spans="1:4" x14ac:dyDescent="0.25">
      <c r="A521" t="s">
        <v>716</v>
      </c>
      <c r="B521" t="s">
        <v>717</v>
      </c>
      <c r="C521" t="s">
        <v>719</v>
      </c>
      <c r="D521" t="s">
        <v>123</v>
      </c>
    </row>
    <row r="522" spans="1:4" x14ac:dyDescent="0.25">
      <c r="A522" t="s">
        <v>716</v>
      </c>
      <c r="B522" t="s">
        <v>717</v>
      </c>
      <c r="C522" t="s">
        <v>720</v>
      </c>
      <c r="D522" t="s">
        <v>123</v>
      </c>
    </row>
    <row r="523" spans="1:4" x14ac:dyDescent="0.25">
      <c r="A523" t="s">
        <v>716</v>
      </c>
      <c r="B523" t="s">
        <v>717</v>
      </c>
      <c r="C523" t="s">
        <v>721</v>
      </c>
      <c r="D523" t="s">
        <v>123</v>
      </c>
    </row>
    <row r="524" spans="1:4" x14ac:dyDescent="0.25">
      <c r="A524" t="s">
        <v>716</v>
      </c>
      <c r="B524" t="s">
        <v>717</v>
      </c>
      <c r="C524" t="s">
        <v>722</v>
      </c>
      <c r="D524" t="s">
        <v>123</v>
      </c>
    </row>
    <row r="525" spans="1:4" x14ac:dyDescent="0.25">
      <c r="A525" t="s">
        <v>716</v>
      </c>
      <c r="B525" t="s">
        <v>717</v>
      </c>
      <c r="C525" t="s">
        <v>723</v>
      </c>
      <c r="D525" t="s">
        <v>123</v>
      </c>
    </row>
    <row r="526" spans="1:4" x14ac:dyDescent="0.25">
      <c r="A526" t="s">
        <v>716</v>
      </c>
      <c r="B526" t="s">
        <v>724</v>
      </c>
      <c r="C526" t="s">
        <v>725</v>
      </c>
      <c r="D526" t="s">
        <v>123</v>
      </c>
    </row>
    <row r="527" spans="1:4" x14ac:dyDescent="0.25">
      <c r="A527" t="s">
        <v>716</v>
      </c>
      <c r="B527" t="s">
        <v>724</v>
      </c>
      <c r="C527" t="s">
        <v>726</v>
      </c>
      <c r="D527" t="s">
        <v>123</v>
      </c>
    </row>
    <row r="528" spans="1:4" x14ac:dyDescent="0.25">
      <c r="A528" t="s">
        <v>716</v>
      </c>
      <c r="B528" t="s">
        <v>724</v>
      </c>
      <c r="C528" t="s">
        <v>727</v>
      </c>
      <c r="D528" t="s">
        <v>123</v>
      </c>
    </row>
    <row r="529" spans="1:4" x14ac:dyDescent="0.25">
      <c r="A529" t="s">
        <v>716</v>
      </c>
      <c r="B529" t="s">
        <v>724</v>
      </c>
      <c r="C529" t="s">
        <v>728</v>
      </c>
      <c r="D529" t="s">
        <v>123</v>
      </c>
    </row>
    <row r="530" spans="1:4" x14ac:dyDescent="0.25">
      <c r="A530" t="s">
        <v>716</v>
      </c>
      <c r="B530" t="s">
        <v>729</v>
      </c>
      <c r="C530" t="s">
        <v>730</v>
      </c>
      <c r="D530" t="s">
        <v>123</v>
      </c>
    </row>
    <row r="531" spans="1:4" x14ac:dyDescent="0.25">
      <c r="A531" t="s">
        <v>716</v>
      </c>
      <c r="B531" t="s">
        <v>729</v>
      </c>
      <c r="C531" t="s">
        <v>731</v>
      </c>
      <c r="D531" t="s">
        <v>123</v>
      </c>
    </row>
    <row r="532" spans="1:4" x14ac:dyDescent="0.25">
      <c r="A532" t="s">
        <v>716</v>
      </c>
      <c r="B532" t="s">
        <v>729</v>
      </c>
      <c r="C532" t="s">
        <v>732</v>
      </c>
      <c r="D532" t="s">
        <v>123</v>
      </c>
    </row>
    <row r="533" spans="1:4" x14ac:dyDescent="0.25">
      <c r="A533" t="s">
        <v>716</v>
      </c>
      <c r="B533" t="s">
        <v>733</v>
      </c>
      <c r="C533" t="s">
        <v>734</v>
      </c>
      <c r="D533" t="s">
        <v>123</v>
      </c>
    </row>
    <row r="534" spans="1:4" x14ac:dyDescent="0.25">
      <c r="A534" t="s">
        <v>716</v>
      </c>
      <c r="B534" t="s">
        <v>735</v>
      </c>
      <c r="C534" t="s">
        <v>736</v>
      </c>
      <c r="D534" t="s">
        <v>123</v>
      </c>
    </row>
    <row r="535" spans="1:4" x14ac:dyDescent="0.25">
      <c r="A535" t="s">
        <v>716</v>
      </c>
      <c r="B535" t="s">
        <v>735</v>
      </c>
      <c r="C535" t="s">
        <v>737</v>
      </c>
      <c r="D535" t="s">
        <v>123</v>
      </c>
    </row>
    <row r="536" spans="1:4" x14ac:dyDescent="0.25">
      <c r="A536" t="s">
        <v>716</v>
      </c>
      <c r="B536" t="s">
        <v>738</v>
      </c>
      <c r="C536" t="s">
        <v>739</v>
      </c>
      <c r="D536" t="s">
        <v>123</v>
      </c>
    </row>
    <row r="537" spans="1:4" x14ac:dyDescent="0.25">
      <c r="A537" t="s">
        <v>716</v>
      </c>
      <c r="B537" t="s">
        <v>738</v>
      </c>
      <c r="C537" t="s">
        <v>740</v>
      </c>
      <c r="D537" t="s">
        <v>123</v>
      </c>
    </row>
    <row r="538" spans="1:4" x14ac:dyDescent="0.25">
      <c r="A538" t="s">
        <v>874</v>
      </c>
      <c r="B538" t="s">
        <v>717</v>
      </c>
      <c r="C538" t="s">
        <v>728</v>
      </c>
      <c r="D538" t="s">
        <v>123</v>
      </c>
    </row>
    <row r="539" spans="1:4" x14ac:dyDescent="0.25">
      <c r="A539" t="s">
        <v>716</v>
      </c>
      <c r="B539" t="s">
        <v>724</v>
      </c>
      <c r="C539" t="s">
        <v>722</v>
      </c>
      <c r="D539" t="s">
        <v>123</v>
      </c>
    </row>
    <row r="540" spans="1:4" x14ac:dyDescent="0.25">
      <c r="A540" t="s">
        <v>716</v>
      </c>
      <c r="B540" t="s">
        <v>717</v>
      </c>
      <c r="C540" t="s">
        <v>1153</v>
      </c>
      <c r="D540" t="s">
        <v>123</v>
      </c>
    </row>
    <row r="541" spans="1:4" x14ac:dyDescent="0.25">
      <c r="A541" t="s">
        <v>741</v>
      </c>
      <c r="B541" t="s">
        <v>741</v>
      </c>
      <c r="C541" t="s">
        <v>741</v>
      </c>
      <c r="D541" t="s">
        <v>118</v>
      </c>
    </row>
    <row r="542" spans="1:4" x14ac:dyDescent="0.25">
      <c r="A542" t="s">
        <v>742</v>
      </c>
      <c r="B542" t="s">
        <v>743</v>
      </c>
      <c r="C542" t="s">
        <v>743</v>
      </c>
      <c r="D542" t="s">
        <v>118</v>
      </c>
    </row>
    <row r="543" spans="1:4" x14ac:dyDescent="0.25">
      <c r="A543" t="s">
        <v>742</v>
      </c>
      <c r="B543" t="s">
        <v>741</v>
      </c>
      <c r="C543" t="s">
        <v>879</v>
      </c>
      <c r="D543" t="s">
        <v>118</v>
      </c>
    </row>
    <row r="544" spans="1:4" x14ac:dyDescent="0.25">
      <c r="A544" t="s">
        <v>647</v>
      </c>
      <c r="B544" t="s">
        <v>648</v>
      </c>
      <c r="C544" t="s">
        <v>647</v>
      </c>
      <c r="D544" t="s">
        <v>142</v>
      </c>
    </row>
    <row r="545" spans="1:4" x14ac:dyDescent="0.25">
      <c r="A545" t="s">
        <v>744</v>
      </c>
      <c r="B545" t="s">
        <v>744</v>
      </c>
      <c r="C545" t="s">
        <v>744</v>
      </c>
      <c r="D545" t="s">
        <v>118</v>
      </c>
    </row>
    <row r="546" spans="1:4" x14ac:dyDescent="0.25">
      <c r="A546" t="s">
        <v>744</v>
      </c>
      <c r="B546" t="s">
        <v>743</v>
      </c>
      <c r="C546" t="s">
        <v>743</v>
      </c>
      <c r="D546" t="s">
        <v>118</v>
      </c>
    </row>
    <row r="547" spans="1:4" x14ac:dyDescent="0.25">
      <c r="A547" t="s">
        <v>744</v>
      </c>
      <c r="B547" t="s">
        <v>744</v>
      </c>
      <c r="C547" t="s">
        <v>1127</v>
      </c>
      <c r="D547" t="s">
        <v>118</v>
      </c>
    </row>
    <row r="548" spans="1:4" x14ac:dyDescent="0.25">
      <c r="A548" t="s">
        <v>744</v>
      </c>
      <c r="B548" t="s">
        <v>744</v>
      </c>
      <c r="C548" t="s">
        <v>1130</v>
      </c>
      <c r="D548" t="s">
        <v>118</v>
      </c>
    </row>
    <row r="549" spans="1:4" x14ac:dyDescent="0.25">
      <c r="A549" t="s">
        <v>744</v>
      </c>
      <c r="B549" t="s">
        <v>744</v>
      </c>
      <c r="C549" t="s">
        <v>1133</v>
      </c>
      <c r="D549" t="s">
        <v>118</v>
      </c>
    </row>
    <row r="550" spans="1:4" x14ac:dyDescent="0.25">
      <c r="A550" t="s">
        <v>744</v>
      </c>
      <c r="B550" t="s">
        <v>744</v>
      </c>
      <c r="C550" t="s">
        <v>1156</v>
      </c>
      <c r="D550" t="s">
        <v>118</v>
      </c>
    </row>
    <row r="551" spans="1:4" x14ac:dyDescent="0.25">
      <c r="A551" t="s">
        <v>744</v>
      </c>
      <c r="B551" t="s">
        <v>744</v>
      </c>
      <c r="C551" t="s">
        <v>1157</v>
      </c>
      <c r="D551" t="s">
        <v>118</v>
      </c>
    </row>
    <row r="552" spans="1:4" x14ac:dyDescent="0.25">
      <c r="A552" t="s">
        <v>744</v>
      </c>
      <c r="B552" t="s">
        <v>744</v>
      </c>
      <c r="C552" t="s">
        <v>1158</v>
      </c>
      <c r="D552" t="s">
        <v>118</v>
      </c>
    </row>
    <row r="553" spans="1:4" x14ac:dyDescent="0.25">
      <c r="A553" t="s">
        <v>744</v>
      </c>
      <c r="B553" t="s">
        <v>744</v>
      </c>
      <c r="C553" t="s">
        <v>1159</v>
      </c>
      <c r="D553" t="s">
        <v>118</v>
      </c>
    </row>
    <row r="554" spans="1:4" x14ac:dyDescent="0.25">
      <c r="A554" t="s">
        <v>745</v>
      </c>
      <c r="B554" t="s">
        <v>746</v>
      </c>
      <c r="C554" t="s">
        <v>747</v>
      </c>
      <c r="D554" t="s">
        <v>157</v>
      </c>
    </row>
    <row r="555" spans="1:4" x14ac:dyDescent="0.25">
      <c r="A555" t="s">
        <v>745</v>
      </c>
      <c r="B555" t="s">
        <v>746</v>
      </c>
      <c r="C555" t="s">
        <v>748</v>
      </c>
      <c r="D555" t="s">
        <v>157</v>
      </c>
    </row>
    <row r="556" spans="1:4" x14ac:dyDescent="0.25">
      <c r="A556" t="s">
        <v>745</v>
      </c>
      <c r="B556" t="s">
        <v>746</v>
      </c>
      <c r="C556" t="s">
        <v>749</v>
      </c>
      <c r="D556" t="s">
        <v>157</v>
      </c>
    </row>
    <row r="557" spans="1:4" x14ac:dyDescent="0.25">
      <c r="A557" t="s">
        <v>745</v>
      </c>
      <c r="B557" t="s">
        <v>746</v>
      </c>
      <c r="C557" t="s">
        <v>750</v>
      </c>
      <c r="D557" t="s">
        <v>157</v>
      </c>
    </row>
    <row r="558" spans="1:4" x14ac:dyDescent="0.25">
      <c r="A558" t="s">
        <v>745</v>
      </c>
      <c r="B558" t="s">
        <v>746</v>
      </c>
      <c r="C558" t="s">
        <v>751</v>
      </c>
      <c r="D558" t="s">
        <v>157</v>
      </c>
    </row>
    <row r="559" spans="1:4" x14ac:dyDescent="0.25">
      <c r="A559" t="s">
        <v>745</v>
      </c>
      <c r="B559" t="s">
        <v>746</v>
      </c>
      <c r="C559" t="s">
        <v>752</v>
      </c>
      <c r="D559" t="s">
        <v>157</v>
      </c>
    </row>
    <row r="560" spans="1:4" x14ac:dyDescent="0.25">
      <c r="A560" t="s">
        <v>745</v>
      </c>
      <c r="B560" t="s">
        <v>746</v>
      </c>
      <c r="C560" t="s">
        <v>747</v>
      </c>
      <c r="D560" t="s">
        <v>154</v>
      </c>
    </row>
    <row r="561" spans="1:4" x14ac:dyDescent="0.25">
      <c r="A561" t="s">
        <v>745</v>
      </c>
      <c r="B561" t="s">
        <v>746</v>
      </c>
      <c r="C561" t="s">
        <v>948</v>
      </c>
      <c r="D561" t="s">
        <v>157</v>
      </c>
    </row>
    <row r="562" spans="1:4" x14ac:dyDescent="0.25">
      <c r="A562" t="s">
        <v>745</v>
      </c>
      <c r="B562" t="s">
        <v>746</v>
      </c>
      <c r="C562" t="s">
        <v>1040</v>
      </c>
      <c r="D562" t="s">
        <v>157</v>
      </c>
    </row>
    <row r="563" spans="1:4" x14ac:dyDescent="0.25">
      <c r="A563" t="s">
        <v>753</v>
      </c>
      <c r="B563" t="s">
        <v>681</v>
      </c>
      <c r="C563" t="s">
        <v>754</v>
      </c>
      <c r="D563" t="s">
        <v>151</v>
      </c>
    </row>
    <row r="564" spans="1:4" x14ac:dyDescent="0.25">
      <c r="A564" t="s">
        <v>755</v>
      </c>
      <c r="B564" t="s">
        <v>681</v>
      </c>
      <c r="C564" t="s">
        <v>756</v>
      </c>
      <c r="D564" t="s">
        <v>151</v>
      </c>
    </row>
    <row r="565" spans="1:4" x14ac:dyDescent="0.25">
      <c r="A565" t="s">
        <v>753</v>
      </c>
      <c r="B565" t="s">
        <v>681</v>
      </c>
      <c r="C565" t="s">
        <v>1037</v>
      </c>
      <c r="D565" t="s">
        <v>151</v>
      </c>
    </row>
    <row r="566" spans="1:4" x14ac:dyDescent="0.25">
      <c r="A566" t="s">
        <v>753</v>
      </c>
      <c r="B566" t="s">
        <v>681</v>
      </c>
      <c r="C566" t="s">
        <v>1055</v>
      </c>
      <c r="D566" t="s">
        <v>151</v>
      </c>
    </row>
    <row r="567" spans="1:4" x14ac:dyDescent="0.25">
      <c r="A567" t="s">
        <v>755</v>
      </c>
      <c r="B567" t="s">
        <v>681</v>
      </c>
      <c r="C567" t="s">
        <v>1059</v>
      </c>
      <c r="D567" t="s">
        <v>151</v>
      </c>
    </row>
    <row r="568" spans="1:4" x14ac:dyDescent="0.25">
      <c r="A568" t="s">
        <v>501</v>
      </c>
      <c r="B568" t="s">
        <v>502</v>
      </c>
      <c r="C568" t="s">
        <v>503</v>
      </c>
      <c r="D568" t="s">
        <v>148</v>
      </c>
    </row>
    <row r="569" spans="1:4" x14ac:dyDescent="0.25">
      <c r="A569" t="s">
        <v>906</v>
      </c>
      <c r="B569" t="s">
        <v>699</v>
      </c>
      <c r="C569" t="s">
        <v>907</v>
      </c>
      <c r="D569" t="s">
        <v>154</v>
      </c>
    </row>
    <row r="570" spans="1:4" x14ac:dyDescent="0.25">
      <c r="A570" t="s">
        <v>906</v>
      </c>
      <c r="B570" t="s">
        <v>699</v>
      </c>
      <c r="C570" t="s">
        <v>908</v>
      </c>
      <c r="D570" t="s">
        <v>157</v>
      </c>
    </row>
    <row r="571" spans="1:4" x14ac:dyDescent="0.25">
      <c r="A571" t="s">
        <v>1064</v>
      </c>
      <c r="B571" t="s">
        <v>506</v>
      </c>
      <c r="C571" t="s">
        <v>507</v>
      </c>
      <c r="D571" t="s">
        <v>148</v>
      </c>
    </row>
    <row r="572" spans="1:4" x14ac:dyDescent="0.25">
      <c r="A572" t="s">
        <v>695</v>
      </c>
      <c r="B572" t="s">
        <v>696</v>
      </c>
      <c r="C572" t="s">
        <v>697</v>
      </c>
      <c r="D572" t="s">
        <v>148</v>
      </c>
    </row>
    <row r="573" spans="1:4" x14ac:dyDescent="0.25">
      <c r="A573" t="s">
        <v>695</v>
      </c>
      <c r="B573" t="s">
        <v>695</v>
      </c>
      <c r="C573" t="s">
        <v>695</v>
      </c>
      <c r="D573" t="s">
        <v>118</v>
      </c>
    </row>
    <row r="574" spans="1:4" x14ac:dyDescent="0.25">
      <c r="A574" t="s">
        <v>695</v>
      </c>
      <c r="B574" t="s">
        <v>743</v>
      </c>
      <c r="C574" t="s">
        <v>743</v>
      </c>
      <c r="D574" t="s">
        <v>118</v>
      </c>
    </row>
    <row r="575" spans="1:4" x14ac:dyDescent="0.25">
      <c r="A575" t="s">
        <v>637</v>
      </c>
      <c r="B575" t="s">
        <v>638</v>
      </c>
      <c r="C575" t="s">
        <v>639</v>
      </c>
      <c r="D575" t="s">
        <v>142</v>
      </c>
    </row>
    <row r="576" spans="1:4" x14ac:dyDescent="0.25">
      <c r="A576" t="s">
        <v>637</v>
      </c>
      <c r="B576" t="s">
        <v>638</v>
      </c>
      <c r="C576" t="s">
        <v>640</v>
      </c>
      <c r="D576" t="s">
        <v>142</v>
      </c>
    </row>
    <row r="577" spans="1:4" x14ac:dyDescent="0.25">
      <c r="A577" t="s">
        <v>759</v>
      </c>
      <c r="B577" t="s">
        <v>760</v>
      </c>
      <c r="C577" t="s">
        <v>761</v>
      </c>
      <c r="D577" t="s">
        <v>154</v>
      </c>
    </row>
    <row r="578" spans="1:4" x14ac:dyDescent="0.25">
      <c r="A578" t="s">
        <v>759</v>
      </c>
      <c r="B578" t="s">
        <v>760</v>
      </c>
      <c r="C578" t="s">
        <v>762</v>
      </c>
      <c r="D578" t="s">
        <v>154</v>
      </c>
    </row>
    <row r="579" spans="1:4" x14ac:dyDescent="0.25">
      <c r="A579" t="s">
        <v>759</v>
      </c>
      <c r="B579" t="s">
        <v>760</v>
      </c>
      <c r="C579" t="s">
        <v>763</v>
      </c>
      <c r="D579" t="s">
        <v>154</v>
      </c>
    </row>
    <row r="580" spans="1:4" x14ac:dyDescent="0.25">
      <c r="A580" t="s">
        <v>759</v>
      </c>
      <c r="B580" t="s">
        <v>699</v>
      </c>
      <c r="C580" t="s">
        <v>764</v>
      </c>
      <c r="D580" t="s">
        <v>154</v>
      </c>
    </row>
    <row r="581" spans="1:4" x14ac:dyDescent="0.25">
      <c r="A581" t="s">
        <v>759</v>
      </c>
      <c r="B581" t="s">
        <v>760</v>
      </c>
      <c r="C581" t="s">
        <v>765</v>
      </c>
      <c r="D581" t="s">
        <v>154</v>
      </c>
    </row>
    <row r="582" spans="1:4" x14ac:dyDescent="0.25">
      <c r="A582" t="s">
        <v>759</v>
      </c>
      <c r="B582" t="s">
        <v>766</v>
      </c>
      <c r="C582" t="s">
        <v>767</v>
      </c>
      <c r="D582" t="s">
        <v>154</v>
      </c>
    </row>
    <row r="583" spans="1:4" x14ac:dyDescent="0.25">
      <c r="A583" t="s">
        <v>759</v>
      </c>
      <c r="B583" t="s">
        <v>766</v>
      </c>
      <c r="C583" t="s">
        <v>768</v>
      </c>
      <c r="D583" t="s">
        <v>154</v>
      </c>
    </row>
    <row r="584" spans="1:4" x14ac:dyDescent="0.25">
      <c r="A584" t="s">
        <v>759</v>
      </c>
      <c r="B584" t="s">
        <v>760</v>
      </c>
      <c r="C584" t="s">
        <v>769</v>
      </c>
      <c r="D584" t="s">
        <v>154</v>
      </c>
    </row>
    <row r="585" spans="1:4" x14ac:dyDescent="0.25">
      <c r="A585" t="s">
        <v>759</v>
      </c>
      <c r="B585" t="s">
        <v>760</v>
      </c>
      <c r="C585" t="s">
        <v>762</v>
      </c>
      <c r="D585" t="s">
        <v>160</v>
      </c>
    </row>
    <row r="586" spans="1:4" x14ac:dyDescent="0.25">
      <c r="A586" t="s">
        <v>759</v>
      </c>
      <c r="B586" t="s">
        <v>699</v>
      </c>
      <c r="C586" t="s">
        <v>855</v>
      </c>
      <c r="D586" t="s">
        <v>154</v>
      </c>
    </row>
    <row r="587" spans="1:4" x14ac:dyDescent="0.25">
      <c r="A587" t="s">
        <v>759</v>
      </c>
      <c r="B587" t="s">
        <v>760</v>
      </c>
      <c r="C587" t="s">
        <v>953</v>
      </c>
      <c r="D587" t="s">
        <v>154</v>
      </c>
    </row>
    <row r="588" spans="1:4" x14ac:dyDescent="0.25">
      <c r="A588" t="s">
        <v>759</v>
      </c>
      <c r="B588" t="s">
        <v>760</v>
      </c>
      <c r="C588" t="s">
        <v>954</v>
      </c>
      <c r="D588" t="s">
        <v>154</v>
      </c>
    </row>
    <row r="589" spans="1:4" x14ac:dyDescent="0.25">
      <c r="A589" t="s">
        <v>759</v>
      </c>
      <c r="B589" t="s">
        <v>760</v>
      </c>
      <c r="C589" t="s">
        <v>1036</v>
      </c>
      <c r="D589" t="s">
        <v>154</v>
      </c>
    </row>
    <row r="590" spans="1:4" x14ac:dyDescent="0.25">
      <c r="A590" t="s">
        <v>759</v>
      </c>
      <c r="B590" t="s">
        <v>766</v>
      </c>
      <c r="C590" t="s">
        <v>765</v>
      </c>
      <c r="D590" t="s">
        <v>154</v>
      </c>
    </row>
    <row r="591" spans="1:4" x14ac:dyDescent="0.25">
      <c r="A591" t="s">
        <v>759</v>
      </c>
      <c r="B591" t="s">
        <v>766</v>
      </c>
      <c r="C591" t="s">
        <v>761</v>
      </c>
      <c r="D591" t="s">
        <v>154</v>
      </c>
    </row>
    <row r="592" spans="1:4" x14ac:dyDescent="0.25">
      <c r="A592" t="s">
        <v>530</v>
      </c>
      <c r="B592" t="s">
        <v>531</v>
      </c>
      <c r="C592" t="s">
        <v>532</v>
      </c>
      <c r="D592" t="s">
        <v>118</v>
      </c>
    </row>
    <row r="593" spans="1:4" x14ac:dyDescent="0.25">
      <c r="A593" t="s">
        <v>530</v>
      </c>
      <c r="B593" t="s">
        <v>531</v>
      </c>
      <c r="C593" t="s">
        <v>533</v>
      </c>
      <c r="D593" t="s">
        <v>118</v>
      </c>
    </row>
    <row r="594" spans="1:4" x14ac:dyDescent="0.25">
      <c r="A594" t="s">
        <v>530</v>
      </c>
      <c r="B594" t="s">
        <v>925</v>
      </c>
      <c r="C594" t="s">
        <v>532</v>
      </c>
      <c r="D594" t="s">
        <v>118</v>
      </c>
    </row>
    <row r="595" spans="1:4" x14ac:dyDescent="0.25">
      <c r="A595" t="s">
        <v>530</v>
      </c>
      <c r="B595" t="s">
        <v>888</v>
      </c>
      <c r="C595" t="s">
        <v>532</v>
      </c>
      <c r="D595" t="s">
        <v>118</v>
      </c>
    </row>
    <row r="596" spans="1:4" x14ac:dyDescent="0.25">
      <c r="A596" t="s">
        <v>530</v>
      </c>
      <c r="B596" t="s">
        <v>925</v>
      </c>
      <c r="C596" t="s">
        <v>533</v>
      </c>
      <c r="D596" t="s">
        <v>118</v>
      </c>
    </row>
    <row r="597" spans="1:4" x14ac:dyDescent="0.25">
      <c r="A597" t="s">
        <v>773</v>
      </c>
      <c r="B597" t="s">
        <v>774</v>
      </c>
      <c r="C597" t="s">
        <v>775</v>
      </c>
      <c r="D597" t="s">
        <v>121</v>
      </c>
    </row>
    <row r="598" spans="1:4" x14ac:dyDescent="0.25">
      <c r="A598" t="s">
        <v>773</v>
      </c>
      <c r="B598" t="s">
        <v>774</v>
      </c>
      <c r="C598" t="s">
        <v>775</v>
      </c>
      <c r="D598" t="s">
        <v>816</v>
      </c>
    </row>
    <row r="599" spans="1:4" x14ac:dyDescent="0.25">
      <c r="A599" t="s">
        <v>776</v>
      </c>
      <c r="B599" t="s">
        <v>777</v>
      </c>
      <c r="C599" t="s">
        <v>778</v>
      </c>
      <c r="D599" t="s">
        <v>157</v>
      </c>
    </row>
    <row r="600" spans="1:4" x14ac:dyDescent="0.25">
      <c r="A600" t="s">
        <v>776</v>
      </c>
      <c r="B600" t="s">
        <v>777</v>
      </c>
      <c r="C600" t="s">
        <v>779</v>
      </c>
      <c r="D600" t="s">
        <v>157</v>
      </c>
    </row>
    <row r="601" spans="1:4" x14ac:dyDescent="0.25">
      <c r="A601" t="s">
        <v>776</v>
      </c>
      <c r="B601" t="s">
        <v>780</v>
      </c>
      <c r="C601" t="s">
        <v>781</v>
      </c>
      <c r="D601" t="s">
        <v>157</v>
      </c>
    </row>
    <row r="602" spans="1:4" x14ac:dyDescent="0.25">
      <c r="A602" t="s">
        <v>776</v>
      </c>
      <c r="B602" t="s">
        <v>780</v>
      </c>
      <c r="C602" t="s">
        <v>782</v>
      </c>
      <c r="D602" t="s">
        <v>157</v>
      </c>
    </row>
    <row r="603" spans="1:4" x14ac:dyDescent="0.25">
      <c r="A603" t="s">
        <v>776</v>
      </c>
      <c r="B603" t="s">
        <v>780</v>
      </c>
      <c r="C603" t="s">
        <v>783</v>
      </c>
      <c r="D603" t="s">
        <v>157</v>
      </c>
    </row>
    <row r="604" spans="1:4" x14ac:dyDescent="0.25">
      <c r="A604" t="s">
        <v>776</v>
      </c>
      <c r="B604" t="s">
        <v>780</v>
      </c>
      <c r="C604" t="s">
        <v>784</v>
      </c>
      <c r="D604" t="s">
        <v>157</v>
      </c>
    </row>
    <row r="605" spans="1:4" x14ac:dyDescent="0.25">
      <c r="A605" t="s">
        <v>776</v>
      </c>
      <c r="B605" t="s">
        <v>780</v>
      </c>
      <c r="C605" t="s">
        <v>785</v>
      </c>
      <c r="D605" t="s">
        <v>157</v>
      </c>
    </row>
    <row r="606" spans="1:4" x14ac:dyDescent="0.25">
      <c r="A606" t="s">
        <v>776</v>
      </c>
      <c r="B606" t="s">
        <v>780</v>
      </c>
      <c r="C606" t="s">
        <v>786</v>
      </c>
      <c r="D606" t="s">
        <v>157</v>
      </c>
    </row>
    <row r="607" spans="1:4" x14ac:dyDescent="0.25">
      <c r="A607" t="s">
        <v>776</v>
      </c>
      <c r="B607" t="s">
        <v>780</v>
      </c>
      <c r="C607" t="s">
        <v>787</v>
      </c>
      <c r="D607" t="s">
        <v>157</v>
      </c>
    </row>
    <row r="608" spans="1:4" x14ac:dyDescent="0.25">
      <c r="A608" t="s">
        <v>776</v>
      </c>
      <c r="B608" t="s">
        <v>777</v>
      </c>
      <c r="C608" t="s">
        <v>788</v>
      </c>
      <c r="D608" t="s">
        <v>157</v>
      </c>
    </row>
    <row r="609" spans="1:4" x14ac:dyDescent="0.25">
      <c r="A609" t="s">
        <v>776</v>
      </c>
      <c r="B609" t="s">
        <v>789</v>
      </c>
      <c r="C609" t="s">
        <v>790</v>
      </c>
      <c r="D609" t="s">
        <v>157</v>
      </c>
    </row>
    <row r="610" spans="1:4" x14ac:dyDescent="0.25">
      <c r="A610" t="s">
        <v>776</v>
      </c>
      <c r="B610" t="s">
        <v>777</v>
      </c>
      <c r="C610" t="s">
        <v>791</v>
      </c>
      <c r="D610" t="s">
        <v>157</v>
      </c>
    </row>
    <row r="611" spans="1:4" x14ac:dyDescent="0.25">
      <c r="A611" t="s">
        <v>776</v>
      </c>
      <c r="B611" t="s">
        <v>789</v>
      </c>
      <c r="C611" t="s">
        <v>792</v>
      </c>
      <c r="D611" t="s">
        <v>157</v>
      </c>
    </row>
    <row r="612" spans="1:4" x14ac:dyDescent="0.25">
      <c r="A612" t="s">
        <v>776</v>
      </c>
      <c r="B612" t="s">
        <v>789</v>
      </c>
      <c r="C612" t="s">
        <v>793</v>
      </c>
      <c r="D612" t="s">
        <v>157</v>
      </c>
    </row>
    <row r="613" spans="1:4" x14ac:dyDescent="0.25">
      <c r="A613" t="s">
        <v>776</v>
      </c>
      <c r="B613" t="s">
        <v>777</v>
      </c>
      <c r="C613" t="s">
        <v>794</v>
      </c>
      <c r="D613" t="s">
        <v>157</v>
      </c>
    </row>
    <row r="614" spans="1:4" x14ac:dyDescent="0.25">
      <c r="A614" t="s">
        <v>776</v>
      </c>
      <c r="B614" t="s">
        <v>777</v>
      </c>
      <c r="C614" t="s">
        <v>795</v>
      </c>
      <c r="D614" t="s">
        <v>157</v>
      </c>
    </row>
    <row r="615" spans="1:4" x14ac:dyDescent="0.25">
      <c r="A615" t="s">
        <v>776</v>
      </c>
      <c r="B615" t="s">
        <v>796</v>
      </c>
      <c r="C615">
        <v>11710</v>
      </c>
      <c r="D615" t="s">
        <v>157</v>
      </c>
    </row>
    <row r="616" spans="1:4" x14ac:dyDescent="0.25">
      <c r="A616" t="s">
        <v>776</v>
      </c>
      <c r="B616" t="s">
        <v>797</v>
      </c>
      <c r="C616" t="s">
        <v>798</v>
      </c>
      <c r="D616" t="s">
        <v>157</v>
      </c>
    </row>
    <row r="617" spans="1:4" x14ac:dyDescent="0.25">
      <c r="A617" t="s">
        <v>776</v>
      </c>
      <c r="B617" t="s">
        <v>796</v>
      </c>
      <c r="C617" t="s">
        <v>799</v>
      </c>
      <c r="D617" t="s">
        <v>157</v>
      </c>
    </row>
    <row r="618" spans="1:4" x14ac:dyDescent="0.25">
      <c r="A618" t="s">
        <v>776</v>
      </c>
      <c r="B618" t="s">
        <v>796</v>
      </c>
      <c r="C618" t="s">
        <v>800</v>
      </c>
      <c r="D618" t="s">
        <v>157</v>
      </c>
    </row>
    <row r="619" spans="1:4" x14ac:dyDescent="0.25">
      <c r="A619" t="s">
        <v>776</v>
      </c>
      <c r="B619" t="s">
        <v>801</v>
      </c>
      <c r="C619" t="s">
        <v>802</v>
      </c>
      <c r="D619" t="s">
        <v>157</v>
      </c>
    </row>
    <row r="620" spans="1:4" x14ac:dyDescent="0.25">
      <c r="A620" t="s">
        <v>776</v>
      </c>
      <c r="B620" t="s">
        <v>801</v>
      </c>
      <c r="C620">
        <v>21700</v>
      </c>
      <c r="D620" t="s">
        <v>157</v>
      </c>
    </row>
    <row r="621" spans="1:4" x14ac:dyDescent="0.25">
      <c r="A621" t="s">
        <v>776</v>
      </c>
      <c r="B621" t="s">
        <v>801</v>
      </c>
      <c r="C621" t="s">
        <v>803</v>
      </c>
      <c r="D621" t="s">
        <v>157</v>
      </c>
    </row>
    <row r="622" spans="1:4" x14ac:dyDescent="0.25">
      <c r="A622" t="s">
        <v>776</v>
      </c>
      <c r="B622" t="s">
        <v>801</v>
      </c>
      <c r="C622">
        <v>23920</v>
      </c>
      <c r="D622" t="s">
        <v>157</v>
      </c>
    </row>
    <row r="623" spans="1:4" x14ac:dyDescent="0.25">
      <c r="A623" t="s">
        <v>776</v>
      </c>
      <c r="B623" t="s">
        <v>780</v>
      </c>
      <c r="C623" t="s">
        <v>804</v>
      </c>
      <c r="D623" t="s">
        <v>157</v>
      </c>
    </row>
    <row r="624" spans="1:4" x14ac:dyDescent="0.25">
      <c r="A624" t="s">
        <v>776</v>
      </c>
      <c r="B624" t="s">
        <v>796</v>
      </c>
      <c r="C624" t="s">
        <v>743</v>
      </c>
      <c r="D624" t="s">
        <v>157</v>
      </c>
    </row>
    <row r="625" spans="1:4" x14ac:dyDescent="0.25">
      <c r="A625" t="s">
        <v>776</v>
      </c>
      <c r="B625" t="s">
        <v>801</v>
      </c>
      <c r="C625" t="s">
        <v>743</v>
      </c>
      <c r="D625" t="s">
        <v>157</v>
      </c>
    </row>
    <row r="626" spans="1:4" x14ac:dyDescent="0.25">
      <c r="A626" t="s">
        <v>776</v>
      </c>
      <c r="B626" t="s">
        <v>805</v>
      </c>
      <c r="C626" t="s">
        <v>806</v>
      </c>
      <c r="D626" t="s">
        <v>157</v>
      </c>
    </row>
    <row r="627" spans="1:4" x14ac:dyDescent="0.25">
      <c r="A627" t="s">
        <v>776</v>
      </c>
      <c r="B627" t="s">
        <v>805</v>
      </c>
      <c r="C627" t="s">
        <v>807</v>
      </c>
      <c r="D627" t="s">
        <v>157</v>
      </c>
    </row>
    <row r="628" spans="1:4" x14ac:dyDescent="0.25">
      <c r="A628" t="s">
        <v>776</v>
      </c>
      <c r="B628" t="s">
        <v>805</v>
      </c>
      <c r="C628" t="s">
        <v>808</v>
      </c>
      <c r="D628" t="s">
        <v>157</v>
      </c>
    </row>
    <row r="629" spans="1:4" x14ac:dyDescent="0.25">
      <c r="A629" t="s">
        <v>776</v>
      </c>
      <c r="B629" t="s">
        <v>805</v>
      </c>
      <c r="C629" t="s">
        <v>809</v>
      </c>
      <c r="D629" t="s">
        <v>157</v>
      </c>
    </row>
    <row r="630" spans="1:4" x14ac:dyDescent="0.25">
      <c r="A630" t="s">
        <v>776</v>
      </c>
      <c r="B630" t="s">
        <v>805</v>
      </c>
      <c r="C630" t="s">
        <v>810</v>
      </c>
      <c r="D630" t="s">
        <v>157</v>
      </c>
    </row>
    <row r="631" spans="1:4" x14ac:dyDescent="0.25">
      <c r="A631" t="s">
        <v>776</v>
      </c>
      <c r="B631" t="s">
        <v>805</v>
      </c>
      <c r="C631" t="s">
        <v>811</v>
      </c>
      <c r="D631" t="s">
        <v>157</v>
      </c>
    </row>
    <row r="632" spans="1:4" x14ac:dyDescent="0.25">
      <c r="A632" t="s">
        <v>776</v>
      </c>
      <c r="B632" t="s">
        <v>805</v>
      </c>
      <c r="C632" t="s">
        <v>812</v>
      </c>
      <c r="D632" t="s">
        <v>157</v>
      </c>
    </row>
    <row r="633" spans="1:4" x14ac:dyDescent="0.25">
      <c r="A633" t="s">
        <v>776</v>
      </c>
      <c r="B633" t="s">
        <v>805</v>
      </c>
      <c r="C633" t="s">
        <v>813</v>
      </c>
      <c r="D633" t="s">
        <v>157</v>
      </c>
    </row>
    <row r="634" spans="1:4" x14ac:dyDescent="0.25">
      <c r="A634" t="s">
        <v>776</v>
      </c>
      <c r="B634" t="s">
        <v>805</v>
      </c>
      <c r="C634" t="s">
        <v>743</v>
      </c>
      <c r="D634" t="s">
        <v>157</v>
      </c>
    </row>
    <row r="635" spans="1:4" x14ac:dyDescent="0.25">
      <c r="A635" t="s">
        <v>776</v>
      </c>
      <c r="B635" t="s">
        <v>814</v>
      </c>
      <c r="C635" t="s">
        <v>815</v>
      </c>
      <c r="D635" t="s">
        <v>157</v>
      </c>
    </row>
    <row r="636" spans="1:4" x14ac:dyDescent="0.25">
      <c r="A636" t="s">
        <v>776</v>
      </c>
      <c r="B636" t="s">
        <v>814</v>
      </c>
      <c r="C636" t="s">
        <v>743</v>
      </c>
      <c r="D636" t="s">
        <v>157</v>
      </c>
    </row>
    <row r="637" spans="1:4" x14ac:dyDescent="0.25">
      <c r="A637" t="s">
        <v>776</v>
      </c>
      <c r="B637" t="s">
        <v>743</v>
      </c>
      <c r="C637" t="s">
        <v>743</v>
      </c>
      <c r="D637" t="s">
        <v>157</v>
      </c>
    </row>
    <row r="638" spans="1:4" x14ac:dyDescent="0.25">
      <c r="A638" t="s">
        <v>776</v>
      </c>
      <c r="B638" t="s">
        <v>825</v>
      </c>
      <c r="C638" t="s">
        <v>793</v>
      </c>
      <c r="D638" t="s">
        <v>157</v>
      </c>
    </row>
    <row r="639" spans="1:4" x14ac:dyDescent="0.25">
      <c r="A639" t="s">
        <v>776</v>
      </c>
      <c r="B639" t="s">
        <v>780</v>
      </c>
      <c r="C639" t="s">
        <v>826</v>
      </c>
      <c r="D639" t="s">
        <v>157</v>
      </c>
    </row>
    <row r="640" spans="1:4" x14ac:dyDescent="0.25">
      <c r="A640" t="s">
        <v>776</v>
      </c>
      <c r="B640" t="s">
        <v>825</v>
      </c>
      <c r="C640" t="s">
        <v>792</v>
      </c>
      <c r="D640" t="s">
        <v>157</v>
      </c>
    </row>
    <row r="641" spans="1:4" x14ac:dyDescent="0.25">
      <c r="A641" t="s">
        <v>776</v>
      </c>
      <c r="B641" t="s">
        <v>780</v>
      </c>
      <c r="C641" t="s">
        <v>839</v>
      </c>
      <c r="D641" t="s">
        <v>157</v>
      </c>
    </row>
    <row r="642" spans="1:4" x14ac:dyDescent="0.25">
      <c r="A642" t="s">
        <v>776</v>
      </c>
      <c r="B642" t="s">
        <v>780</v>
      </c>
      <c r="C642" t="s">
        <v>840</v>
      </c>
      <c r="D642" t="s">
        <v>157</v>
      </c>
    </row>
    <row r="643" spans="1:4" x14ac:dyDescent="0.25">
      <c r="A643" t="s">
        <v>776</v>
      </c>
      <c r="B643" t="s">
        <v>797</v>
      </c>
      <c r="C643" t="s">
        <v>844</v>
      </c>
      <c r="D643" t="s">
        <v>157</v>
      </c>
    </row>
    <row r="644" spans="1:4" x14ac:dyDescent="0.25">
      <c r="A644" t="s">
        <v>776</v>
      </c>
      <c r="B644" t="s">
        <v>777</v>
      </c>
      <c r="C644" t="s">
        <v>851</v>
      </c>
      <c r="D644" t="s">
        <v>157</v>
      </c>
    </row>
    <row r="645" spans="1:4" x14ac:dyDescent="0.25">
      <c r="A645" t="s">
        <v>776</v>
      </c>
      <c r="B645" t="s">
        <v>508</v>
      </c>
      <c r="C645" t="s">
        <v>863</v>
      </c>
      <c r="D645" t="s">
        <v>148</v>
      </c>
    </row>
    <row r="646" spans="1:4" x14ac:dyDescent="0.25">
      <c r="A646" t="s">
        <v>776</v>
      </c>
      <c r="B646" t="s">
        <v>780</v>
      </c>
      <c r="C646" t="s">
        <v>866</v>
      </c>
      <c r="D646" t="s">
        <v>157</v>
      </c>
    </row>
    <row r="647" spans="1:4" x14ac:dyDescent="0.25">
      <c r="A647" t="s">
        <v>776</v>
      </c>
      <c r="B647" t="s">
        <v>508</v>
      </c>
      <c r="C647" t="s">
        <v>870</v>
      </c>
      <c r="D647" t="s">
        <v>148</v>
      </c>
    </row>
    <row r="648" spans="1:4" x14ac:dyDescent="0.25">
      <c r="A648" t="s">
        <v>776</v>
      </c>
      <c r="B648" t="s">
        <v>777</v>
      </c>
      <c r="C648" t="s">
        <v>777</v>
      </c>
      <c r="D648" t="s">
        <v>157</v>
      </c>
    </row>
    <row r="649" spans="1:4" x14ac:dyDescent="0.25">
      <c r="A649" t="s">
        <v>776</v>
      </c>
      <c r="B649" t="s">
        <v>876</v>
      </c>
      <c r="C649" t="s">
        <v>876</v>
      </c>
      <c r="D649" t="s">
        <v>157</v>
      </c>
    </row>
    <row r="650" spans="1:4" x14ac:dyDescent="0.25">
      <c r="A650" t="s">
        <v>776</v>
      </c>
      <c r="B650" t="s">
        <v>880</v>
      </c>
      <c r="C650" t="s">
        <v>814</v>
      </c>
      <c r="D650" t="s">
        <v>157</v>
      </c>
    </row>
    <row r="651" spans="1:4" x14ac:dyDescent="0.25">
      <c r="A651" t="s">
        <v>776</v>
      </c>
      <c r="C651" t="s">
        <v>510</v>
      </c>
      <c r="D651" t="s">
        <v>148</v>
      </c>
    </row>
    <row r="652" spans="1:4" x14ac:dyDescent="0.25">
      <c r="A652" t="s">
        <v>776</v>
      </c>
      <c r="B652" t="s">
        <v>508</v>
      </c>
      <c r="C652" t="s">
        <v>510</v>
      </c>
      <c r="D652" t="s">
        <v>148</v>
      </c>
    </row>
    <row r="653" spans="1:4" x14ac:dyDescent="0.25">
      <c r="A653" t="s">
        <v>776</v>
      </c>
      <c r="B653" t="s">
        <v>780</v>
      </c>
      <c r="C653" t="s">
        <v>780</v>
      </c>
      <c r="D653" t="s">
        <v>157</v>
      </c>
    </row>
    <row r="654" spans="1:4" x14ac:dyDescent="0.25">
      <c r="A654" t="s">
        <v>776</v>
      </c>
      <c r="B654" t="s">
        <v>780</v>
      </c>
      <c r="C654" t="s">
        <v>889</v>
      </c>
      <c r="D654" t="s">
        <v>157</v>
      </c>
    </row>
    <row r="655" spans="1:4" x14ac:dyDescent="0.25">
      <c r="A655" t="s">
        <v>776</v>
      </c>
      <c r="B655" t="s">
        <v>777</v>
      </c>
      <c r="C655" t="s">
        <v>890</v>
      </c>
      <c r="D655" t="s">
        <v>157</v>
      </c>
    </row>
    <row r="656" spans="1:4" x14ac:dyDescent="0.25">
      <c r="A656" t="s">
        <v>776</v>
      </c>
      <c r="B656" t="s">
        <v>780</v>
      </c>
      <c r="C656" t="s">
        <v>891</v>
      </c>
      <c r="D656" t="s">
        <v>157</v>
      </c>
    </row>
    <row r="657" spans="1:4" x14ac:dyDescent="0.25">
      <c r="A657" t="s">
        <v>776</v>
      </c>
      <c r="B657" t="s">
        <v>780</v>
      </c>
      <c r="C657" t="s">
        <v>892</v>
      </c>
      <c r="D657" t="s">
        <v>157</v>
      </c>
    </row>
    <row r="658" spans="1:4" x14ac:dyDescent="0.25">
      <c r="A658" t="s">
        <v>776</v>
      </c>
      <c r="B658" t="s">
        <v>780</v>
      </c>
      <c r="C658" t="s">
        <v>894</v>
      </c>
      <c r="D658" t="s">
        <v>157</v>
      </c>
    </row>
    <row r="659" spans="1:4" x14ac:dyDescent="0.25">
      <c r="A659" t="s">
        <v>776</v>
      </c>
      <c r="B659" t="s">
        <v>780</v>
      </c>
      <c r="C659" t="s">
        <v>895</v>
      </c>
      <c r="D659" t="s">
        <v>157</v>
      </c>
    </row>
    <row r="660" spans="1:4" x14ac:dyDescent="0.25">
      <c r="A660" t="s">
        <v>776</v>
      </c>
      <c r="B660" t="s">
        <v>777</v>
      </c>
      <c r="C660" t="s">
        <v>896</v>
      </c>
      <c r="D660" t="s">
        <v>157</v>
      </c>
    </row>
    <row r="661" spans="1:4" x14ac:dyDescent="0.25">
      <c r="A661" t="s">
        <v>776</v>
      </c>
      <c r="B661" t="s">
        <v>903</v>
      </c>
      <c r="C661" t="s">
        <v>777</v>
      </c>
      <c r="D661" t="s">
        <v>157</v>
      </c>
    </row>
    <row r="662" spans="1:4" x14ac:dyDescent="0.25">
      <c r="A662" t="s">
        <v>776</v>
      </c>
      <c r="C662" t="s">
        <v>801</v>
      </c>
      <c r="D662" t="s">
        <v>157</v>
      </c>
    </row>
    <row r="663" spans="1:4" x14ac:dyDescent="0.25">
      <c r="A663" t="s">
        <v>776</v>
      </c>
      <c r="B663" t="s">
        <v>743</v>
      </c>
      <c r="C663" t="s">
        <v>743</v>
      </c>
      <c r="D663" t="s">
        <v>118</v>
      </c>
    </row>
    <row r="664" spans="1:4" x14ac:dyDescent="0.25">
      <c r="A664" t="s">
        <v>776</v>
      </c>
      <c r="B664" t="s">
        <v>780</v>
      </c>
      <c r="C664" t="s">
        <v>909</v>
      </c>
      <c r="D664" t="s">
        <v>157</v>
      </c>
    </row>
    <row r="665" spans="1:4" x14ac:dyDescent="0.25">
      <c r="A665" t="s">
        <v>776</v>
      </c>
      <c r="B665" t="s">
        <v>780</v>
      </c>
      <c r="C665" t="s">
        <v>916</v>
      </c>
      <c r="D665" t="s">
        <v>157</v>
      </c>
    </row>
    <row r="666" spans="1:4" x14ac:dyDescent="0.25">
      <c r="A666" t="s">
        <v>776</v>
      </c>
      <c r="B666" t="s">
        <v>777</v>
      </c>
      <c r="C666" t="s">
        <v>917</v>
      </c>
      <c r="D666" t="s">
        <v>157</v>
      </c>
    </row>
    <row r="667" spans="1:4" x14ac:dyDescent="0.25">
      <c r="A667" t="s">
        <v>776</v>
      </c>
      <c r="B667" t="s">
        <v>777</v>
      </c>
      <c r="C667" t="s">
        <v>896</v>
      </c>
      <c r="D667" t="s">
        <v>121</v>
      </c>
    </row>
    <row r="668" spans="1:4" x14ac:dyDescent="0.25">
      <c r="A668" t="s">
        <v>776</v>
      </c>
      <c r="B668" t="s">
        <v>962</v>
      </c>
      <c r="C668" t="s">
        <v>963</v>
      </c>
      <c r="D668" t="s">
        <v>157</v>
      </c>
    </row>
    <row r="669" spans="1:4" x14ac:dyDescent="0.25">
      <c r="A669" t="s">
        <v>776</v>
      </c>
      <c r="B669" t="s">
        <v>964</v>
      </c>
      <c r="C669" t="s">
        <v>965</v>
      </c>
      <c r="D669" t="s">
        <v>157</v>
      </c>
    </row>
    <row r="670" spans="1:4" x14ac:dyDescent="0.25">
      <c r="A670" t="s">
        <v>776</v>
      </c>
      <c r="B670" t="s">
        <v>780</v>
      </c>
      <c r="C670" t="s">
        <v>966</v>
      </c>
      <c r="D670" t="s">
        <v>157</v>
      </c>
    </row>
    <row r="671" spans="1:4" x14ac:dyDescent="0.25">
      <c r="A671" t="s">
        <v>776</v>
      </c>
      <c r="B671" t="s">
        <v>780</v>
      </c>
      <c r="C671" t="s">
        <v>972</v>
      </c>
      <c r="D671" t="s">
        <v>157</v>
      </c>
    </row>
    <row r="672" spans="1:4" x14ac:dyDescent="0.25">
      <c r="A672" t="s">
        <v>776</v>
      </c>
      <c r="B672" t="s">
        <v>780</v>
      </c>
      <c r="C672" t="s">
        <v>985</v>
      </c>
      <c r="D672" t="s">
        <v>157</v>
      </c>
    </row>
    <row r="673" spans="1:4" x14ac:dyDescent="0.25">
      <c r="A673" t="s">
        <v>776</v>
      </c>
      <c r="B673" t="s">
        <v>801</v>
      </c>
      <c r="C673" t="s">
        <v>991</v>
      </c>
      <c r="D673" t="s">
        <v>157</v>
      </c>
    </row>
    <row r="674" spans="1:4" x14ac:dyDescent="0.25">
      <c r="A674" t="s">
        <v>776</v>
      </c>
      <c r="B674" t="s">
        <v>780</v>
      </c>
      <c r="C674" t="s">
        <v>992</v>
      </c>
      <c r="D674" t="s">
        <v>157</v>
      </c>
    </row>
    <row r="675" spans="1:4" x14ac:dyDescent="0.25">
      <c r="A675" t="s">
        <v>993</v>
      </c>
      <c r="B675" t="s">
        <v>743</v>
      </c>
      <c r="C675" t="s">
        <v>994</v>
      </c>
      <c r="D675" t="s">
        <v>157</v>
      </c>
    </row>
    <row r="676" spans="1:4" x14ac:dyDescent="0.25">
      <c r="A676" t="s">
        <v>776</v>
      </c>
      <c r="B676" t="s">
        <v>780</v>
      </c>
      <c r="C676" t="s">
        <v>995</v>
      </c>
      <c r="D676" t="s">
        <v>157</v>
      </c>
    </row>
    <row r="677" spans="1:4" x14ac:dyDescent="0.25">
      <c r="A677" t="s">
        <v>776</v>
      </c>
      <c r="B677" t="s">
        <v>780</v>
      </c>
      <c r="C677" t="s">
        <v>999</v>
      </c>
      <c r="D677" t="s">
        <v>157</v>
      </c>
    </row>
    <row r="678" spans="1:4" x14ac:dyDescent="0.25">
      <c r="A678" t="s">
        <v>993</v>
      </c>
      <c r="B678" t="s">
        <v>780</v>
      </c>
      <c r="C678" t="s">
        <v>1000</v>
      </c>
      <c r="D678" t="s">
        <v>157</v>
      </c>
    </row>
    <row r="679" spans="1:4" x14ac:dyDescent="0.25">
      <c r="A679" t="s">
        <v>776</v>
      </c>
      <c r="B679" t="s">
        <v>743</v>
      </c>
      <c r="C679" t="s">
        <v>1001</v>
      </c>
      <c r="D679" t="s">
        <v>157</v>
      </c>
    </row>
    <row r="680" spans="1:4" x14ac:dyDescent="0.25">
      <c r="A680" t="s">
        <v>776</v>
      </c>
      <c r="B680" t="s">
        <v>743</v>
      </c>
      <c r="C680" t="s">
        <v>1002</v>
      </c>
      <c r="D680" t="s">
        <v>157</v>
      </c>
    </row>
    <row r="681" spans="1:4" x14ac:dyDescent="0.25">
      <c r="A681" t="s">
        <v>776</v>
      </c>
      <c r="B681" t="s">
        <v>743</v>
      </c>
      <c r="C681" t="s">
        <v>1003</v>
      </c>
      <c r="D681" t="s">
        <v>157</v>
      </c>
    </row>
    <row r="682" spans="1:4" x14ac:dyDescent="0.25">
      <c r="A682" t="s">
        <v>993</v>
      </c>
      <c r="B682" t="s">
        <v>780</v>
      </c>
      <c r="C682" t="s">
        <v>1004</v>
      </c>
      <c r="D682" t="s">
        <v>157</v>
      </c>
    </row>
    <row r="683" spans="1:4" x14ac:dyDescent="0.25">
      <c r="A683" t="s">
        <v>776</v>
      </c>
      <c r="B683" t="s">
        <v>789</v>
      </c>
      <c r="C683" t="s">
        <v>1005</v>
      </c>
      <c r="D683" t="s">
        <v>157</v>
      </c>
    </row>
    <row r="684" spans="1:4" x14ac:dyDescent="0.25">
      <c r="A684" t="s">
        <v>776</v>
      </c>
      <c r="B684" t="s">
        <v>780</v>
      </c>
      <c r="C684" t="s">
        <v>1006</v>
      </c>
      <c r="D684" t="s">
        <v>157</v>
      </c>
    </row>
    <row r="685" spans="1:4" x14ac:dyDescent="0.25">
      <c r="A685" t="s">
        <v>776</v>
      </c>
      <c r="B685" t="s">
        <v>789</v>
      </c>
      <c r="C685" t="s">
        <v>1007</v>
      </c>
      <c r="D685" t="s">
        <v>157</v>
      </c>
    </row>
    <row r="686" spans="1:4" x14ac:dyDescent="0.25">
      <c r="A686" t="s">
        <v>776</v>
      </c>
      <c r="B686" t="s">
        <v>780</v>
      </c>
      <c r="C686" t="s">
        <v>1008</v>
      </c>
      <c r="D686" t="s">
        <v>157</v>
      </c>
    </row>
    <row r="687" spans="1:4" x14ac:dyDescent="0.25">
      <c r="A687" t="s">
        <v>776</v>
      </c>
      <c r="B687" t="s">
        <v>796</v>
      </c>
      <c r="C687" t="s">
        <v>743</v>
      </c>
      <c r="D687" t="s">
        <v>118</v>
      </c>
    </row>
    <row r="688" spans="1:4" x14ac:dyDescent="0.25">
      <c r="A688" t="s">
        <v>776</v>
      </c>
      <c r="B688" t="s">
        <v>777</v>
      </c>
      <c r="C688" t="s">
        <v>1011</v>
      </c>
      <c r="D688" t="s">
        <v>157</v>
      </c>
    </row>
    <row r="689" spans="1:4" x14ac:dyDescent="0.25">
      <c r="A689" t="s">
        <v>776</v>
      </c>
      <c r="B689" t="s">
        <v>776</v>
      </c>
      <c r="C689" t="s">
        <v>1035</v>
      </c>
      <c r="D689" t="s">
        <v>157</v>
      </c>
    </row>
    <row r="690" spans="1:4" x14ac:dyDescent="0.25">
      <c r="A690" t="s">
        <v>776</v>
      </c>
      <c r="B690" t="s">
        <v>780</v>
      </c>
      <c r="C690" t="s">
        <v>1039</v>
      </c>
      <c r="D690" t="s">
        <v>157</v>
      </c>
    </row>
    <row r="691" spans="1:4" x14ac:dyDescent="0.25">
      <c r="A691" t="s">
        <v>776</v>
      </c>
      <c r="B691" t="s">
        <v>780</v>
      </c>
      <c r="C691" t="s">
        <v>1039</v>
      </c>
      <c r="D691" t="s">
        <v>154</v>
      </c>
    </row>
    <row r="692" spans="1:4" x14ac:dyDescent="0.25">
      <c r="A692" t="s">
        <v>776</v>
      </c>
      <c r="B692" t="s">
        <v>789</v>
      </c>
      <c r="C692" t="s">
        <v>1041</v>
      </c>
      <c r="D692" t="s">
        <v>157</v>
      </c>
    </row>
    <row r="693" spans="1:4" x14ac:dyDescent="0.25">
      <c r="A693" t="s">
        <v>776</v>
      </c>
      <c r="B693" t="s">
        <v>1044</v>
      </c>
      <c r="C693" t="s">
        <v>1044</v>
      </c>
      <c r="D693" t="s">
        <v>157</v>
      </c>
    </row>
    <row r="694" spans="1:4" x14ac:dyDescent="0.25">
      <c r="A694" t="s">
        <v>776</v>
      </c>
      <c r="B694" t="s">
        <v>1045</v>
      </c>
      <c r="C694" t="s">
        <v>1046</v>
      </c>
      <c r="D694" t="s">
        <v>157</v>
      </c>
    </row>
    <row r="695" spans="1:4" x14ac:dyDescent="0.25">
      <c r="A695" t="s">
        <v>776</v>
      </c>
      <c r="B695" t="s">
        <v>1045</v>
      </c>
      <c r="C695" t="s">
        <v>1047</v>
      </c>
      <c r="D695" t="s">
        <v>157</v>
      </c>
    </row>
    <row r="696" spans="1:4" x14ac:dyDescent="0.25">
      <c r="A696" t="s">
        <v>776</v>
      </c>
      <c r="B696" t="s">
        <v>1045</v>
      </c>
      <c r="C696" t="s">
        <v>1048</v>
      </c>
      <c r="D696" t="s">
        <v>157</v>
      </c>
    </row>
    <row r="697" spans="1:4" x14ac:dyDescent="0.25">
      <c r="A697" t="s">
        <v>776</v>
      </c>
      <c r="B697" t="s">
        <v>1045</v>
      </c>
      <c r="C697" t="s">
        <v>1049</v>
      </c>
      <c r="D697" t="s">
        <v>157</v>
      </c>
    </row>
    <row r="698" spans="1:4" x14ac:dyDescent="0.25">
      <c r="A698" t="s">
        <v>776</v>
      </c>
      <c r="B698" t="s">
        <v>1045</v>
      </c>
      <c r="C698" t="s">
        <v>1050</v>
      </c>
      <c r="D698" t="s">
        <v>157</v>
      </c>
    </row>
    <row r="699" spans="1:4" x14ac:dyDescent="0.25">
      <c r="A699" t="s">
        <v>776</v>
      </c>
      <c r="B699" t="s">
        <v>1058</v>
      </c>
      <c r="C699" t="s">
        <v>1058</v>
      </c>
      <c r="D699" t="s">
        <v>157</v>
      </c>
    </row>
    <row r="700" spans="1:4" x14ac:dyDescent="0.25">
      <c r="A700" t="s">
        <v>776</v>
      </c>
      <c r="B700" t="s">
        <v>780</v>
      </c>
      <c r="C700" t="s">
        <v>1069</v>
      </c>
      <c r="D700" t="s">
        <v>157</v>
      </c>
    </row>
    <row r="701" spans="1:4" x14ac:dyDescent="0.25">
      <c r="A701" t="s">
        <v>776</v>
      </c>
      <c r="B701" t="s">
        <v>801</v>
      </c>
      <c r="C701" t="s">
        <v>1108</v>
      </c>
      <c r="D701" t="s">
        <v>157</v>
      </c>
    </row>
    <row r="702" spans="1:4" x14ac:dyDescent="0.25">
      <c r="A702" t="s">
        <v>776</v>
      </c>
      <c r="B702" t="s">
        <v>801</v>
      </c>
      <c r="C702" t="s">
        <v>1109</v>
      </c>
      <c r="D702" t="s">
        <v>157</v>
      </c>
    </row>
    <row r="703" spans="1:4" x14ac:dyDescent="0.25">
      <c r="A703" t="s">
        <v>776</v>
      </c>
      <c r="B703" t="s">
        <v>801</v>
      </c>
      <c r="C703" t="s">
        <v>1131</v>
      </c>
      <c r="D703" t="s">
        <v>157</v>
      </c>
    </row>
    <row r="704" spans="1:4" x14ac:dyDescent="0.25">
      <c r="A704" t="s">
        <v>776</v>
      </c>
      <c r="B704" t="s">
        <v>780</v>
      </c>
      <c r="C704" t="s">
        <v>1132</v>
      </c>
      <c r="D704" t="s">
        <v>157</v>
      </c>
    </row>
    <row r="705" spans="1:4" x14ac:dyDescent="0.25">
      <c r="A705" t="s">
        <v>776</v>
      </c>
      <c r="B705" t="s">
        <v>1138</v>
      </c>
      <c r="C705" t="s">
        <v>792</v>
      </c>
      <c r="D705" t="s">
        <v>157</v>
      </c>
    </row>
    <row r="706" spans="1:4" x14ac:dyDescent="0.25">
      <c r="A706" t="s">
        <v>776</v>
      </c>
      <c r="B706" t="s">
        <v>1150</v>
      </c>
      <c r="C706" t="s">
        <v>1151</v>
      </c>
      <c r="D706" t="s">
        <v>157</v>
      </c>
    </row>
    <row r="707" spans="1:4" x14ac:dyDescent="0.25">
      <c r="A707" t="s">
        <v>776</v>
      </c>
      <c r="B707" t="s">
        <v>1151</v>
      </c>
      <c r="C707" t="s">
        <v>1151</v>
      </c>
      <c r="D707" t="s">
        <v>157</v>
      </c>
    </row>
    <row r="708" spans="1:4" x14ac:dyDescent="0.25">
      <c r="A708" t="s">
        <v>776</v>
      </c>
      <c r="B708" t="s">
        <v>1161</v>
      </c>
      <c r="C708" t="s">
        <v>1161</v>
      </c>
      <c r="D708" t="s">
        <v>157</v>
      </c>
    </row>
    <row r="709" spans="1:4" x14ac:dyDescent="0.25">
      <c r="A709" t="s">
        <v>776</v>
      </c>
      <c r="B709" t="s">
        <v>777</v>
      </c>
      <c r="C709" t="s">
        <v>1162</v>
      </c>
      <c r="D709" t="s">
        <v>157</v>
      </c>
    </row>
    <row r="710" spans="1:4" x14ac:dyDescent="0.25">
      <c r="A710" t="s">
        <v>776</v>
      </c>
      <c r="B710" t="s">
        <v>508</v>
      </c>
      <c r="C710" t="s">
        <v>1166</v>
      </c>
      <c r="D710" t="s">
        <v>148</v>
      </c>
    </row>
    <row r="711" spans="1:4" x14ac:dyDescent="0.25">
      <c r="A711" t="s">
        <v>776</v>
      </c>
      <c r="B711" t="s">
        <v>1169</v>
      </c>
      <c r="C711" t="s">
        <v>1170</v>
      </c>
      <c r="D711" t="s">
        <v>157</v>
      </c>
    </row>
    <row r="712" spans="1:4" x14ac:dyDescent="0.25">
      <c r="A712" t="s">
        <v>776</v>
      </c>
      <c r="B712" t="s">
        <v>1169</v>
      </c>
      <c r="C712" t="s">
        <v>1172</v>
      </c>
      <c r="D712" t="s">
        <v>157</v>
      </c>
    </row>
    <row r="713" spans="1:4" x14ac:dyDescent="0.25">
      <c r="A713" t="s">
        <v>776</v>
      </c>
      <c r="B713" t="s">
        <v>1175</v>
      </c>
      <c r="C713" t="s">
        <v>1175</v>
      </c>
      <c r="D713" t="s">
        <v>157</v>
      </c>
    </row>
    <row r="714" spans="1:4" x14ac:dyDescent="0.25">
      <c r="A714" t="s">
        <v>776</v>
      </c>
      <c r="B714" t="s">
        <v>1176</v>
      </c>
      <c r="C714" t="s">
        <v>1176</v>
      </c>
      <c r="D714" t="s">
        <v>157</v>
      </c>
    </row>
    <row r="715" spans="1:4" x14ac:dyDescent="0.25">
      <c r="A715" t="s">
        <v>776</v>
      </c>
      <c r="B715" t="s">
        <v>1177</v>
      </c>
      <c r="C715" t="s">
        <v>1177</v>
      </c>
      <c r="D715" t="s">
        <v>157</v>
      </c>
    </row>
    <row r="716" spans="1:4" x14ac:dyDescent="0.25">
      <c r="A716" t="s">
        <v>993</v>
      </c>
      <c r="B716" t="s">
        <v>1181</v>
      </c>
      <c r="C716" t="s">
        <v>510</v>
      </c>
      <c r="D716" t="s">
        <v>148</v>
      </c>
    </row>
    <row r="717" spans="1:4" x14ac:dyDescent="0.25">
      <c r="A717" t="s">
        <v>515</v>
      </c>
      <c r="B717" t="s">
        <v>513</v>
      </c>
      <c r="C717" t="s">
        <v>516</v>
      </c>
      <c r="D717" t="s">
        <v>142</v>
      </c>
    </row>
    <row r="718" spans="1:4" x14ac:dyDescent="0.25">
      <c r="A718" t="s">
        <v>515</v>
      </c>
      <c r="B718" t="s">
        <v>513</v>
      </c>
      <c r="C718" t="s">
        <v>1015</v>
      </c>
      <c r="D718" t="s">
        <v>142</v>
      </c>
    </row>
    <row r="719" spans="1:4" x14ac:dyDescent="0.25">
      <c r="A719" t="s">
        <v>515</v>
      </c>
      <c r="B719" t="s">
        <v>513</v>
      </c>
      <c r="C719" t="s">
        <v>1168</v>
      </c>
      <c r="D719" t="s">
        <v>142</v>
      </c>
    </row>
    <row r="720" spans="1:4" x14ac:dyDescent="0.25">
      <c r="A720" t="s">
        <v>817</v>
      </c>
      <c r="B720" t="s">
        <v>818</v>
      </c>
      <c r="C720" t="s">
        <v>818</v>
      </c>
      <c r="D720" t="s">
        <v>142</v>
      </c>
    </row>
    <row r="721" spans="1:4" x14ac:dyDescent="0.25">
      <c r="A721" t="s">
        <v>817</v>
      </c>
      <c r="B721" t="s">
        <v>842</v>
      </c>
      <c r="C721" t="s">
        <v>955</v>
      </c>
      <c r="D721" t="s">
        <v>142</v>
      </c>
    </row>
    <row r="722" spans="1:4" x14ac:dyDescent="0.25">
      <c r="A722" t="s">
        <v>817</v>
      </c>
      <c r="B722" t="s">
        <v>1095</v>
      </c>
      <c r="C722" t="s">
        <v>1096</v>
      </c>
      <c r="D722" t="s">
        <v>142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BEA9-92BF-42B7-BC06-668BA7CA9A62}">
  <dimension ref="A3:B143"/>
  <sheetViews>
    <sheetView topLeftCell="A55" workbookViewId="0">
      <selection activeCell="A109" sqref="A109:A110"/>
    </sheetView>
  </sheetViews>
  <sheetFormatPr defaultRowHeight="15" x14ac:dyDescent="0.25"/>
  <cols>
    <col min="1" max="1" width="31.85546875" bestFit="1" customWidth="1"/>
    <col min="2" max="2" width="11.5703125" bestFit="1" customWidth="1"/>
  </cols>
  <sheetData>
    <row r="3" spans="1:2" x14ac:dyDescent="0.25">
      <c r="A3" s="4" t="s">
        <v>1179</v>
      </c>
      <c r="B3" t="s">
        <v>1183</v>
      </c>
    </row>
    <row r="4" spans="1:2" x14ac:dyDescent="0.25">
      <c r="A4" s="5" t="s">
        <v>441</v>
      </c>
      <c r="B4" s="6">
        <v>2</v>
      </c>
    </row>
    <row r="5" spans="1:2" x14ac:dyDescent="0.25">
      <c r="A5" s="5" t="s">
        <v>436</v>
      </c>
      <c r="B5" s="6">
        <v>5</v>
      </c>
    </row>
    <row r="6" spans="1:2" x14ac:dyDescent="0.25">
      <c r="A6" s="5" t="s">
        <v>743</v>
      </c>
      <c r="B6" s="6">
        <v>10</v>
      </c>
    </row>
    <row r="7" spans="1:2" x14ac:dyDescent="0.25">
      <c r="A7" s="5" t="s">
        <v>842</v>
      </c>
      <c r="B7" s="6">
        <v>9</v>
      </c>
    </row>
    <row r="8" spans="1:2" x14ac:dyDescent="0.25">
      <c r="A8" s="5" t="s">
        <v>1092</v>
      </c>
      <c r="B8" s="6">
        <v>1</v>
      </c>
    </row>
    <row r="9" spans="1:2" x14ac:dyDescent="0.25">
      <c r="A9" s="5" t="s">
        <v>918</v>
      </c>
      <c r="B9" s="6">
        <v>1</v>
      </c>
    </row>
    <row r="10" spans="1:2" x14ac:dyDescent="0.25">
      <c r="A10" s="5" t="s">
        <v>1038</v>
      </c>
      <c r="B10" s="6">
        <v>1</v>
      </c>
    </row>
    <row r="11" spans="1:2" x14ac:dyDescent="0.25">
      <c r="A11" s="5" t="s">
        <v>438</v>
      </c>
      <c r="B11" s="6">
        <v>2</v>
      </c>
    </row>
    <row r="12" spans="1:2" x14ac:dyDescent="0.25">
      <c r="A12" s="5" t="s">
        <v>447</v>
      </c>
      <c r="B12" s="6">
        <v>1</v>
      </c>
    </row>
    <row r="13" spans="1:2" x14ac:dyDescent="0.25">
      <c r="A13" s="5" t="s">
        <v>453</v>
      </c>
      <c r="B13" s="6">
        <v>1</v>
      </c>
    </row>
    <row r="14" spans="1:2" x14ac:dyDescent="0.25">
      <c r="A14" s="5" t="s">
        <v>984</v>
      </c>
      <c r="B14" s="6">
        <v>1</v>
      </c>
    </row>
    <row r="15" spans="1:2" x14ac:dyDescent="0.25">
      <c r="A15" s="5" t="s">
        <v>434</v>
      </c>
      <c r="B15" s="6">
        <v>2</v>
      </c>
    </row>
    <row r="16" spans="1:2" x14ac:dyDescent="0.25">
      <c r="A16" s="5" t="s">
        <v>986</v>
      </c>
      <c r="B16" s="6">
        <v>1</v>
      </c>
    </row>
    <row r="17" spans="1:2" x14ac:dyDescent="0.25">
      <c r="A17" s="5" t="s">
        <v>442</v>
      </c>
      <c r="B17" s="6">
        <v>1</v>
      </c>
    </row>
    <row r="18" spans="1:2" x14ac:dyDescent="0.25">
      <c r="A18" s="5" t="s">
        <v>437</v>
      </c>
      <c r="B18" s="6">
        <v>1</v>
      </c>
    </row>
    <row r="19" spans="1:2" x14ac:dyDescent="0.25">
      <c r="A19" s="5" t="s">
        <v>433</v>
      </c>
      <c r="B19" s="6">
        <v>1</v>
      </c>
    </row>
    <row r="20" spans="1:2" x14ac:dyDescent="0.25">
      <c r="A20" s="5" t="s">
        <v>1134</v>
      </c>
      <c r="B20" s="6">
        <v>1</v>
      </c>
    </row>
    <row r="21" spans="1:2" x14ac:dyDescent="0.25">
      <c r="A21" s="5" t="s">
        <v>431</v>
      </c>
      <c r="B21" s="6">
        <v>1</v>
      </c>
    </row>
    <row r="22" spans="1:2" x14ac:dyDescent="0.25">
      <c r="A22" s="5" t="s">
        <v>536</v>
      </c>
      <c r="B22" s="6">
        <v>1</v>
      </c>
    </row>
    <row r="23" spans="1:2" x14ac:dyDescent="0.25">
      <c r="A23" s="5" t="s">
        <v>457</v>
      </c>
      <c r="B23" s="6">
        <v>1</v>
      </c>
    </row>
    <row r="24" spans="1:2" x14ac:dyDescent="0.25">
      <c r="A24" s="5" t="s">
        <v>550</v>
      </c>
      <c r="B24" s="6">
        <v>1</v>
      </c>
    </row>
    <row r="25" spans="1:2" x14ac:dyDescent="0.25">
      <c r="A25" s="5" t="s">
        <v>429</v>
      </c>
      <c r="B25" s="6">
        <v>1</v>
      </c>
    </row>
    <row r="26" spans="1:2" x14ac:dyDescent="0.25">
      <c r="A26" s="5" t="s">
        <v>513</v>
      </c>
      <c r="B26" s="6">
        <v>5</v>
      </c>
    </row>
    <row r="27" spans="1:2" x14ac:dyDescent="0.25">
      <c r="A27" s="5" t="s">
        <v>818</v>
      </c>
      <c r="B27" s="6">
        <v>1</v>
      </c>
    </row>
    <row r="28" spans="1:2" x14ac:dyDescent="0.25">
      <c r="A28" s="5" t="s">
        <v>448</v>
      </c>
      <c r="B28" s="6">
        <v>2</v>
      </c>
    </row>
    <row r="29" spans="1:2" x14ac:dyDescent="0.25">
      <c r="A29" s="5" t="s">
        <v>523</v>
      </c>
      <c r="B29" s="6">
        <v>1</v>
      </c>
    </row>
    <row r="30" spans="1:2" x14ac:dyDescent="0.25">
      <c r="A30" s="5" t="s">
        <v>462</v>
      </c>
      <c r="B30" s="6">
        <v>5</v>
      </c>
    </row>
    <row r="31" spans="1:2" x14ac:dyDescent="0.25">
      <c r="A31" s="5" t="s">
        <v>699</v>
      </c>
      <c r="B31" s="6">
        <v>6</v>
      </c>
    </row>
    <row r="32" spans="1:2" x14ac:dyDescent="0.25">
      <c r="A32" s="5" t="s">
        <v>746</v>
      </c>
      <c r="B32" s="6">
        <v>10</v>
      </c>
    </row>
    <row r="33" spans="1:2" x14ac:dyDescent="0.25">
      <c r="A33" s="5" t="s">
        <v>502</v>
      </c>
      <c r="B33" s="6">
        <v>1</v>
      </c>
    </row>
    <row r="34" spans="1:2" x14ac:dyDescent="0.25">
      <c r="A34" s="5" t="s">
        <v>805</v>
      </c>
      <c r="B34" s="6">
        <v>9</v>
      </c>
    </row>
    <row r="35" spans="1:2" x14ac:dyDescent="0.25">
      <c r="A35" s="5" t="s">
        <v>724</v>
      </c>
      <c r="B35" s="6">
        <v>5</v>
      </c>
    </row>
    <row r="36" spans="1:2" x14ac:dyDescent="0.25">
      <c r="A36" s="5" t="s">
        <v>971</v>
      </c>
      <c r="B36" s="6">
        <v>1</v>
      </c>
    </row>
    <row r="37" spans="1:2" x14ac:dyDescent="0.25">
      <c r="A37" s="5" t="s">
        <v>480</v>
      </c>
      <c r="B37" s="6">
        <v>3</v>
      </c>
    </row>
    <row r="38" spans="1:2" x14ac:dyDescent="0.25">
      <c r="A38" s="5" t="s">
        <v>662</v>
      </c>
      <c r="B38" s="6">
        <v>4</v>
      </c>
    </row>
    <row r="39" spans="1:2" x14ac:dyDescent="0.25">
      <c r="A39" s="5" t="s">
        <v>696</v>
      </c>
      <c r="B39" s="6">
        <v>1</v>
      </c>
    </row>
    <row r="40" spans="1:2" x14ac:dyDescent="0.25">
      <c r="A40" s="5" t="s">
        <v>691</v>
      </c>
      <c r="B40" s="6">
        <v>4</v>
      </c>
    </row>
    <row r="41" spans="1:2" x14ac:dyDescent="0.25">
      <c r="A41" s="5" t="s">
        <v>521</v>
      </c>
      <c r="B41" s="6">
        <v>7</v>
      </c>
    </row>
    <row r="42" spans="1:2" x14ac:dyDescent="0.25">
      <c r="A42" s="5" t="s">
        <v>488</v>
      </c>
      <c r="B42" s="6">
        <v>4</v>
      </c>
    </row>
    <row r="43" spans="1:2" x14ac:dyDescent="0.25">
      <c r="A43" s="5" t="s">
        <v>466</v>
      </c>
      <c r="B43" s="6">
        <v>5</v>
      </c>
    </row>
    <row r="44" spans="1:2" x14ac:dyDescent="0.25">
      <c r="A44" s="5" t="s">
        <v>648</v>
      </c>
      <c r="B44" s="6">
        <v>1</v>
      </c>
    </row>
    <row r="45" spans="1:2" x14ac:dyDescent="0.25">
      <c r="A45" s="5" t="s">
        <v>937</v>
      </c>
      <c r="B45" s="6">
        <v>1</v>
      </c>
    </row>
    <row r="46" spans="1:2" x14ac:dyDescent="0.25">
      <c r="A46" s="5" t="s">
        <v>757</v>
      </c>
      <c r="B46" s="6">
        <v>1</v>
      </c>
    </row>
    <row r="47" spans="1:2" x14ac:dyDescent="0.25">
      <c r="A47" s="5" t="s">
        <v>780</v>
      </c>
      <c r="B47" s="6">
        <v>34</v>
      </c>
    </row>
    <row r="48" spans="1:2" x14ac:dyDescent="0.25">
      <c r="A48" s="5" t="s">
        <v>766</v>
      </c>
      <c r="B48" s="6">
        <v>4</v>
      </c>
    </row>
    <row r="49" spans="1:2" x14ac:dyDescent="0.25">
      <c r="A49" s="5" t="s">
        <v>508</v>
      </c>
      <c r="B49" s="6">
        <v>24</v>
      </c>
    </row>
    <row r="50" spans="1:2" x14ac:dyDescent="0.25">
      <c r="A50" s="5" t="s">
        <v>432</v>
      </c>
      <c r="B50" s="6">
        <v>4</v>
      </c>
    </row>
    <row r="51" spans="1:2" x14ac:dyDescent="0.25">
      <c r="A51" s="5" t="s">
        <v>1083</v>
      </c>
      <c r="B51" s="6">
        <v>3</v>
      </c>
    </row>
    <row r="52" spans="1:2" x14ac:dyDescent="0.25">
      <c r="A52" s="5" t="s">
        <v>951</v>
      </c>
      <c r="B52" s="6">
        <v>1</v>
      </c>
    </row>
    <row r="53" spans="1:2" x14ac:dyDescent="0.25">
      <c r="A53" s="5" t="s">
        <v>446</v>
      </c>
      <c r="B53" s="6">
        <v>2</v>
      </c>
    </row>
    <row r="54" spans="1:2" x14ac:dyDescent="0.25">
      <c r="A54" s="5" t="s">
        <v>455</v>
      </c>
      <c r="B54" s="6">
        <v>3</v>
      </c>
    </row>
    <row r="55" spans="1:2" x14ac:dyDescent="0.25">
      <c r="A55" s="5" t="s">
        <v>479</v>
      </c>
      <c r="B55" s="6">
        <v>1</v>
      </c>
    </row>
    <row r="56" spans="1:2" x14ac:dyDescent="0.25">
      <c r="A56" s="5" t="s">
        <v>498</v>
      </c>
      <c r="B56" s="6">
        <v>8</v>
      </c>
    </row>
    <row r="57" spans="1:2" x14ac:dyDescent="0.25">
      <c r="A57" s="5" t="s">
        <v>526</v>
      </c>
      <c r="B57" s="6">
        <v>4</v>
      </c>
    </row>
    <row r="58" spans="1:2" x14ac:dyDescent="0.25">
      <c r="A58" s="5" t="s">
        <v>1116</v>
      </c>
      <c r="B58" s="6">
        <v>1</v>
      </c>
    </row>
    <row r="59" spans="1:2" x14ac:dyDescent="0.25">
      <c r="A59" s="5" t="s">
        <v>903</v>
      </c>
      <c r="B59" s="6">
        <v>1</v>
      </c>
    </row>
    <row r="60" spans="1:2" x14ac:dyDescent="0.25">
      <c r="A60" s="5" t="s">
        <v>735</v>
      </c>
      <c r="B60" s="6">
        <v>2</v>
      </c>
    </row>
    <row r="61" spans="1:2" x14ac:dyDescent="0.25">
      <c r="A61" s="5" t="s">
        <v>717</v>
      </c>
      <c r="B61" s="6">
        <v>8</v>
      </c>
    </row>
    <row r="62" spans="1:2" x14ac:dyDescent="0.25">
      <c r="A62" s="5" t="s">
        <v>729</v>
      </c>
      <c r="B62" s="6">
        <v>3</v>
      </c>
    </row>
    <row r="63" spans="1:2" x14ac:dyDescent="0.25">
      <c r="A63" s="5" t="s">
        <v>733</v>
      </c>
      <c r="B63" s="6">
        <v>1</v>
      </c>
    </row>
    <row r="64" spans="1:2" x14ac:dyDescent="0.25">
      <c r="A64" s="5" t="s">
        <v>1027</v>
      </c>
      <c r="B64" s="6">
        <v>1</v>
      </c>
    </row>
    <row r="65" spans="1:2" x14ac:dyDescent="0.25">
      <c r="A65" s="5" t="s">
        <v>496</v>
      </c>
      <c r="B65" s="6">
        <v>1</v>
      </c>
    </row>
    <row r="66" spans="1:2" x14ac:dyDescent="0.25">
      <c r="A66" s="5" t="s">
        <v>547</v>
      </c>
      <c r="B66" s="6">
        <v>1</v>
      </c>
    </row>
    <row r="67" spans="1:2" x14ac:dyDescent="0.25">
      <c r="A67" s="5" t="s">
        <v>638</v>
      </c>
      <c r="B67" s="6">
        <v>2</v>
      </c>
    </row>
    <row r="68" spans="1:2" x14ac:dyDescent="0.25">
      <c r="A68" s="5" t="s">
        <v>789</v>
      </c>
      <c r="B68" s="6">
        <v>8</v>
      </c>
    </row>
    <row r="69" spans="1:2" x14ac:dyDescent="0.25">
      <c r="A69" s="5" t="s">
        <v>880</v>
      </c>
      <c r="B69" s="6">
        <v>1</v>
      </c>
    </row>
    <row r="70" spans="1:2" x14ac:dyDescent="0.25">
      <c r="A70" s="5" t="s">
        <v>1177</v>
      </c>
      <c r="B70" s="6">
        <v>1</v>
      </c>
    </row>
    <row r="71" spans="1:2" x14ac:dyDescent="0.25">
      <c r="A71" s="5" t="s">
        <v>825</v>
      </c>
      <c r="B71" s="6">
        <v>2</v>
      </c>
    </row>
    <row r="72" spans="1:2" x14ac:dyDescent="0.25">
      <c r="A72" s="5" t="s">
        <v>1176</v>
      </c>
      <c r="B72" s="6">
        <v>1</v>
      </c>
    </row>
    <row r="73" spans="1:2" x14ac:dyDescent="0.25">
      <c r="A73" s="5" t="s">
        <v>760</v>
      </c>
      <c r="B73" s="6">
        <v>9</v>
      </c>
    </row>
    <row r="74" spans="1:2" x14ac:dyDescent="0.25">
      <c r="A74" s="5" t="s">
        <v>553</v>
      </c>
      <c r="B74" s="6">
        <v>2</v>
      </c>
    </row>
    <row r="75" spans="1:2" x14ac:dyDescent="0.25">
      <c r="A75" s="5" t="s">
        <v>1148</v>
      </c>
      <c r="B75" s="6">
        <v>1</v>
      </c>
    </row>
    <row r="76" spans="1:2" x14ac:dyDescent="0.25">
      <c r="A76" s="5" t="s">
        <v>688</v>
      </c>
      <c r="B76" s="6">
        <v>15</v>
      </c>
    </row>
    <row r="77" spans="1:2" x14ac:dyDescent="0.25">
      <c r="A77" s="5" t="s">
        <v>1105</v>
      </c>
      <c r="B77" s="6">
        <v>1</v>
      </c>
    </row>
    <row r="78" spans="1:2" x14ac:dyDescent="0.25">
      <c r="A78" s="5" t="s">
        <v>430</v>
      </c>
      <c r="B78" s="6">
        <v>6</v>
      </c>
    </row>
    <row r="79" spans="1:2" x14ac:dyDescent="0.25">
      <c r="A79" s="5" t="s">
        <v>738</v>
      </c>
      <c r="B79" s="6">
        <v>2</v>
      </c>
    </row>
    <row r="80" spans="1:2" x14ac:dyDescent="0.25">
      <c r="A80" s="5" t="s">
        <v>1150</v>
      </c>
      <c r="B80" s="6">
        <v>1</v>
      </c>
    </row>
    <row r="81" spans="1:2" x14ac:dyDescent="0.25">
      <c r="A81" s="5" t="s">
        <v>1151</v>
      </c>
      <c r="B81" s="6">
        <v>1</v>
      </c>
    </row>
    <row r="82" spans="1:2" x14ac:dyDescent="0.25">
      <c r="A82" s="5" t="s">
        <v>777</v>
      </c>
      <c r="B82" s="6">
        <v>14</v>
      </c>
    </row>
    <row r="83" spans="1:2" x14ac:dyDescent="0.25">
      <c r="A83" s="5" t="s">
        <v>1058</v>
      </c>
      <c r="B83" s="6">
        <v>1</v>
      </c>
    </row>
    <row r="84" spans="1:2" x14ac:dyDescent="0.25">
      <c r="A84" s="5" t="s">
        <v>876</v>
      </c>
      <c r="B84" s="6">
        <v>1</v>
      </c>
    </row>
    <row r="85" spans="1:2" x14ac:dyDescent="0.25">
      <c r="A85" s="5" t="s">
        <v>843</v>
      </c>
      <c r="B85" s="6">
        <v>1</v>
      </c>
    </row>
    <row r="86" spans="1:2" x14ac:dyDescent="0.25">
      <c r="A86" s="5" t="s">
        <v>459</v>
      </c>
      <c r="B86" s="6">
        <v>4</v>
      </c>
    </row>
    <row r="87" spans="1:2" x14ac:dyDescent="0.25">
      <c r="A87" s="5" t="s">
        <v>600</v>
      </c>
      <c r="B87" s="6">
        <v>58</v>
      </c>
    </row>
    <row r="88" spans="1:2" x14ac:dyDescent="0.25">
      <c r="A88" s="5" t="s">
        <v>668</v>
      </c>
      <c r="B88" s="6">
        <v>3</v>
      </c>
    </row>
    <row r="89" spans="1:2" x14ac:dyDescent="0.25">
      <c r="A89" s="5" t="s">
        <v>586</v>
      </c>
      <c r="B89" s="6">
        <v>125</v>
      </c>
    </row>
    <row r="90" spans="1:2" x14ac:dyDescent="0.25">
      <c r="A90" s="5" t="s">
        <v>603</v>
      </c>
      <c r="B90" s="6">
        <v>22</v>
      </c>
    </row>
    <row r="91" spans="1:2" x14ac:dyDescent="0.25">
      <c r="A91" s="5" t="s">
        <v>579</v>
      </c>
      <c r="B91" s="6">
        <v>13</v>
      </c>
    </row>
    <row r="92" spans="1:2" x14ac:dyDescent="0.25">
      <c r="A92" s="5" t="s">
        <v>561</v>
      </c>
      <c r="B92" s="6">
        <v>30</v>
      </c>
    </row>
    <row r="93" spans="1:2" x14ac:dyDescent="0.25">
      <c r="A93" s="5" t="s">
        <v>581</v>
      </c>
      <c r="B93" s="6">
        <v>39</v>
      </c>
    </row>
    <row r="94" spans="1:2" x14ac:dyDescent="0.25">
      <c r="A94" s="5" t="s">
        <v>584</v>
      </c>
      <c r="B94" s="6">
        <v>9</v>
      </c>
    </row>
    <row r="95" spans="1:2" x14ac:dyDescent="0.25">
      <c r="A95" s="5" t="s">
        <v>1080</v>
      </c>
      <c r="B95" s="6">
        <v>1</v>
      </c>
    </row>
    <row r="96" spans="1:2" x14ac:dyDescent="0.25">
      <c r="A96" s="5" t="s">
        <v>495</v>
      </c>
      <c r="B96" s="6">
        <v>4</v>
      </c>
    </row>
    <row r="97" spans="1:2" x14ac:dyDescent="0.25">
      <c r="A97" s="5" t="s">
        <v>1030</v>
      </c>
      <c r="B97" s="6">
        <v>1</v>
      </c>
    </row>
    <row r="98" spans="1:2" x14ac:dyDescent="0.25">
      <c r="A98" s="5" t="s">
        <v>471</v>
      </c>
      <c r="B98" s="6">
        <v>3</v>
      </c>
    </row>
    <row r="99" spans="1:2" x14ac:dyDescent="0.25">
      <c r="A99" s="5" t="s">
        <v>476</v>
      </c>
      <c r="B99" s="6">
        <v>2</v>
      </c>
    </row>
    <row r="100" spans="1:2" x14ac:dyDescent="0.25">
      <c r="A100" s="5" t="s">
        <v>921</v>
      </c>
      <c r="B100" s="6">
        <v>1</v>
      </c>
    </row>
    <row r="101" spans="1:2" x14ac:dyDescent="0.25">
      <c r="A101" s="5" t="s">
        <v>538</v>
      </c>
      <c r="B101" s="6">
        <v>2</v>
      </c>
    </row>
    <row r="102" spans="1:2" x14ac:dyDescent="0.25">
      <c r="A102" s="5" t="s">
        <v>1061</v>
      </c>
      <c r="B102" s="6">
        <v>1</v>
      </c>
    </row>
    <row r="103" spans="1:2" x14ac:dyDescent="0.25">
      <c r="A103" s="5" t="s">
        <v>886</v>
      </c>
      <c r="B103" s="6">
        <v>2</v>
      </c>
    </row>
    <row r="104" spans="1:2" x14ac:dyDescent="0.25">
      <c r="A104" s="5" t="s">
        <v>925</v>
      </c>
      <c r="B104" s="6">
        <v>2</v>
      </c>
    </row>
    <row r="105" spans="1:2" x14ac:dyDescent="0.25">
      <c r="A105" s="5" t="s">
        <v>888</v>
      </c>
      <c r="B105" s="6">
        <v>1</v>
      </c>
    </row>
    <row r="106" spans="1:2" x14ac:dyDescent="0.25">
      <c r="A106" s="5" t="s">
        <v>531</v>
      </c>
      <c r="B106" s="6">
        <v>2</v>
      </c>
    </row>
    <row r="107" spans="1:2" x14ac:dyDescent="0.25">
      <c r="A107" s="5" t="s">
        <v>796</v>
      </c>
      <c r="B107" s="6">
        <v>5</v>
      </c>
    </row>
    <row r="108" spans="1:2" x14ac:dyDescent="0.25">
      <c r="A108" s="5" t="s">
        <v>1169</v>
      </c>
      <c r="B108" s="6">
        <v>2</v>
      </c>
    </row>
    <row r="109" spans="1:2" x14ac:dyDescent="0.25">
      <c r="A109" s="5" t="s">
        <v>962</v>
      </c>
      <c r="B109" s="6">
        <v>1</v>
      </c>
    </row>
    <row r="110" spans="1:2" x14ac:dyDescent="0.25">
      <c r="A110" s="5" t="s">
        <v>444</v>
      </c>
      <c r="B110" s="6">
        <v>1</v>
      </c>
    </row>
    <row r="111" spans="1:2" x14ac:dyDescent="0.25">
      <c r="A111" s="5" t="s">
        <v>801</v>
      </c>
      <c r="B111" s="6">
        <v>9</v>
      </c>
    </row>
    <row r="112" spans="1:2" x14ac:dyDescent="0.25">
      <c r="A112" s="5" t="s">
        <v>1175</v>
      </c>
      <c r="B112" s="6">
        <v>1</v>
      </c>
    </row>
    <row r="113" spans="1:2" x14ac:dyDescent="0.25">
      <c r="A113" s="5" t="s">
        <v>1045</v>
      </c>
      <c r="B113" s="6">
        <v>5</v>
      </c>
    </row>
    <row r="114" spans="1:2" x14ac:dyDescent="0.25">
      <c r="A114" s="5" t="s">
        <v>451</v>
      </c>
      <c r="B114" s="6">
        <v>2</v>
      </c>
    </row>
    <row r="115" spans="1:2" x14ac:dyDescent="0.25">
      <c r="A115" s="5" t="s">
        <v>834</v>
      </c>
      <c r="B115" s="6">
        <v>1</v>
      </c>
    </row>
    <row r="116" spans="1:2" x14ac:dyDescent="0.25">
      <c r="A116" s="5" t="s">
        <v>771</v>
      </c>
      <c r="B116" s="6">
        <v>1</v>
      </c>
    </row>
    <row r="117" spans="1:2" x14ac:dyDescent="0.25">
      <c r="A117" s="5" t="s">
        <v>490</v>
      </c>
      <c r="B117" s="6">
        <v>1</v>
      </c>
    </row>
    <row r="118" spans="1:2" x14ac:dyDescent="0.25">
      <c r="A118" s="5" t="s">
        <v>701</v>
      </c>
      <c r="B118" s="6">
        <v>1</v>
      </c>
    </row>
    <row r="119" spans="1:2" x14ac:dyDescent="0.25">
      <c r="A119" s="5" t="s">
        <v>1095</v>
      </c>
      <c r="B119" s="6">
        <v>1</v>
      </c>
    </row>
    <row r="120" spans="1:2" x14ac:dyDescent="0.25">
      <c r="A120" s="5" t="s">
        <v>741</v>
      </c>
      <c r="B120" s="6">
        <v>2</v>
      </c>
    </row>
    <row r="121" spans="1:2" x14ac:dyDescent="0.25">
      <c r="A121" s="5" t="s">
        <v>744</v>
      </c>
      <c r="B121" s="6">
        <v>8</v>
      </c>
    </row>
    <row r="122" spans="1:2" x14ac:dyDescent="0.25">
      <c r="A122" s="5" t="s">
        <v>492</v>
      </c>
      <c r="B122" s="6">
        <v>1</v>
      </c>
    </row>
    <row r="123" spans="1:2" x14ac:dyDescent="0.25">
      <c r="A123" s="5" t="s">
        <v>797</v>
      </c>
      <c r="B123" s="6">
        <v>2</v>
      </c>
    </row>
    <row r="124" spans="1:2" x14ac:dyDescent="0.25">
      <c r="A124" s="5" t="s">
        <v>871</v>
      </c>
      <c r="B124" s="6">
        <v>1</v>
      </c>
    </row>
    <row r="125" spans="1:2" x14ac:dyDescent="0.25">
      <c r="A125" s="5" t="s">
        <v>684</v>
      </c>
      <c r="B125" s="6">
        <v>2</v>
      </c>
    </row>
    <row r="126" spans="1:2" x14ac:dyDescent="0.25">
      <c r="A126" s="5" t="s">
        <v>506</v>
      </c>
      <c r="B126" s="6">
        <v>3</v>
      </c>
    </row>
    <row r="127" spans="1:2" x14ac:dyDescent="0.25">
      <c r="A127" s="5" t="s">
        <v>541</v>
      </c>
      <c r="B127" s="6">
        <v>2</v>
      </c>
    </row>
    <row r="128" spans="1:2" x14ac:dyDescent="0.25">
      <c r="A128" s="5" t="s">
        <v>681</v>
      </c>
      <c r="B128" s="6">
        <v>6</v>
      </c>
    </row>
    <row r="129" spans="1:2" x14ac:dyDescent="0.25">
      <c r="A129" s="5" t="s">
        <v>695</v>
      </c>
      <c r="B129" s="6">
        <v>1</v>
      </c>
    </row>
    <row r="130" spans="1:2" x14ac:dyDescent="0.25">
      <c r="A130" s="5" t="s">
        <v>774</v>
      </c>
      <c r="B130" s="6">
        <v>2</v>
      </c>
    </row>
    <row r="131" spans="1:2" x14ac:dyDescent="0.25">
      <c r="A131" s="5" t="s">
        <v>702</v>
      </c>
      <c r="B131" s="6">
        <v>8</v>
      </c>
    </row>
    <row r="132" spans="1:2" x14ac:dyDescent="0.25">
      <c r="A132" s="5" t="s">
        <v>1114</v>
      </c>
      <c r="B132" s="6">
        <v>1</v>
      </c>
    </row>
    <row r="133" spans="1:2" x14ac:dyDescent="0.25">
      <c r="A133" s="5" t="s">
        <v>518</v>
      </c>
      <c r="B133" s="6">
        <v>8</v>
      </c>
    </row>
    <row r="134" spans="1:2" x14ac:dyDescent="0.25">
      <c r="A134" s="5" t="s">
        <v>1161</v>
      </c>
      <c r="B134" s="6">
        <v>1</v>
      </c>
    </row>
    <row r="135" spans="1:2" x14ac:dyDescent="0.25">
      <c r="A135" s="5" t="s">
        <v>776</v>
      </c>
      <c r="B135" s="6">
        <v>1</v>
      </c>
    </row>
    <row r="136" spans="1:2" x14ac:dyDescent="0.25">
      <c r="A136" s="5" t="s">
        <v>950</v>
      </c>
      <c r="B136" s="6">
        <v>1</v>
      </c>
    </row>
    <row r="137" spans="1:2" x14ac:dyDescent="0.25">
      <c r="A137" s="5" t="s">
        <v>1022</v>
      </c>
      <c r="B137" s="6">
        <v>1</v>
      </c>
    </row>
    <row r="138" spans="1:2" x14ac:dyDescent="0.25">
      <c r="A138" s="5" t="s">
        <v>1138</v>
      </c>
      <c r="B138" s="6">
        <v>1</v>
      </c>
    </row>
    <row r="139" spans="1:2" x14ac:dyDescent="0.25">
      <c r="A139" s="5" t="s">
        <v>482</v>
      </c>
      <c r="B139" s="6">
        <v>7</v>
      </c>
    </row>
    <row r="140" spans="1:2" x14ac:dyDescent="0.25">
      <c r="A140" s="5" t="s">
        <v>964</v>
      </c>
      <c r="B140" s="6">
        <v>1</v>
      </c>
    </row>
    <row r="141" spans="1:2" x14ac:dyDescent="0.25">
      <c r="A141" s="5" t="s">
        <v>1044</v>
      </c>
      <c r="B141" s="6">
        <v>1</v>
      </c>
    </row>
    <row r="142" spans="1:2" x14ac:dyDescent="0.25">
      <c r="A142" s="5" t="s">
        <v>1182</v>
      </c>
      <c r="B142" s="6">
        <v>3</v>
      </c>
    </row>
    <row r="143" spans="1:2" x14ac:dyDescent="0.25">
      <c r="A143" s="5" t="s">
        <v>1180</v>
      </c>
      <c r="B143" s="6">
        <v>720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64E3-11C0-4DBE-A60E-FB4CE072CA46}">
  <dimension ref="C1:S180"/>
  <sheetViews>
    <sheetView topLeftCell="A155" workbookViewId="0">
      <selection activeCell="P3" sqref="P3:S178"/>
    </sheetView>
  </sheetViews>
  <sheetFormatPr defaultRowHeight="15" x14ac:dyDescent="0.25"/>
  <cols>
    <col min="13" max="13" width="22.85546875" bestFit="1" customWidth="1"/>
  </cols>
  <sheetData>
    <row r="1" spans="3:19" x14ac:dyDescent="0.25">
      <c r="C1" t="s">
        <v>323</v>
      </c>
      <c r="J1" t="s">
        <v>1188</v>
      </c>
      <c r="Q1" t="s">
        <v>1188</v>
      </c>
    </row>
    <row r="2" spans="3:19" x14ac:dyDescent="0.25">
      <c r="C2" s="7">
        <v>1</v>
      </c>
      <c r="D2" s="7" t="s">
        <v>429</v>
      </c>
      <c r="E2" s="7">
        <v>1</v>
      </c>
      <c r="J2" t="s">
        <v>1189</v>
      </c>
      <c r="K2" t="s">
        <v>426</v>
      </c>
      <c r="L2" t="s">
        <v>11</v>
      </c>
      <c r="M2" t="s">
        <v>428</v>
      </c>
      <c r="N2" t="s">
        <v>48</v>
      </c>
      <c r="Q2" t="s">
        <v>1189</v>
      </c>
      <c r="R2" t="s">
        <v>11</v>
      </c>
      <c r="S2" t="s">
        <v>48</v>
      </c>
    </row>
    <row r="3" spans="3:19" x14ac:dyDescent="0.25">
      <c r="C3" s="7">
        <v>2</v>
      </c>
      <c r="D3" s="7" t="s">
        <v>454</v>
      </c>
      <c r="E3" s="7">
        <v>2</v>
      </c>
      <c r="J3">
        <v>1</v>
      </c>
      <c r="K3" t="s">
        <v>429</v>
      </c>
      <c r="L3" t="s">
        <v>430</v>
      </c>
      <c r="M3" t="s">
        <v>123</v>
      </c>
      <c r="N3">
        <v>314002</v>
      </c>
      <c r="Q3">
        <v>1</v>
      </c>
      <c r="R3" t="s">
        <v>430</v>
      </c>
      <c r="S3">
        <v>314002</v>
      </c>
    </row>
    <row r="4" spans="3:19" ht="30" x14ac:dyDescent="0.25">
      <c r="C4" s="7">
        <v>3</v>
      </c>
      <c r="D4" s="7" t="s">
        <v>887</v>
      </c>
      <c r="E4" s="7">
        <v>3</v>
      </c>
      <c r="J4">
        <v>1</v>
      </c>
      <c r="K4" t="s">
        <v>429</v>
      </c>
      <c r="L4" t="s">
        <v>432</v>
      </c>
      <c r="M4" t="s">
        <v>123</v>
      </c>
      <c r="N4">
        <v>314002</v>
      </c>
      <c r="Q4">
        <v>1</v>
      </c>
      <c r="R4" t="s">
        <v>432</v>
      </c>
      <c r="S4">
        <v>314002</v>
      </c>
    </row>
    <row r="5" spans="3:19" x14ac:dyDescent="0.25">
      <c r="C5" s="7">
        <v>4</v>
      </c>
      <c r="D5" s="7" t="s">
        <v>462</v>
      </c>
      <c r="E5" s="7">
        <v>4</v>
      </c>
      <c r="J5">
        <v>1</v>
      </c>
      <c r="K5" t="s">
        <v>429</v>
      </c>
      <c r="L5" t="s">
        <v>436</v>
      </c>
      <c r="M5" t="s">
        <v>123</v>
      </c>
      <c r="N5">
        <v>314002</v>
      </c>
      <c r="Q5">
        <v>1</v>
      </c>
      <c r="R5" t="s">
        <v>436</v>
      </c>
      <c r="S5">
        <v>314002</v>
      </c>
    </row>
    <row r="6" spans="3:19" x14ac:dyDescent="0.25">
      <c r="C6" s="7">
        <v>5</v>
      </c>
      <c r="D6" s="7" t="s">
        <v>465</v>
      </c>
      <c r="E6" s="7">
        <v>5</v>
      </c>
      <c r="J6">
        <v>1</v>
      </c>
      <c r="K6" t="s">
        <v>429</v>
      </c>
      <c r="L6" t="s">
        <v>441</v>
      </c>
      <c r="M6" t="s">
        <v>123</v>
      </c>
      <c r="N6">
        <v>314002</v>
      </c>
      <c r="Q6">
        <v>1</v>
      </c>
      <c r="R6" t="s">
        <v>441</v>
      </c>
      <c r="S6">
        <v>314002</v>
      </c>
    </row>
    <row r="7" spans="3:19" x14ac:dyDescent="0.25">
      <c r="C7" s="7">
        <v>6</v>
      </c>
      <c r="D7" s="7" t="s">
        <v>662</v>
      </c>
      <c r="E7" s="7">
        <v>6</v>
      </c>
      <c r="J7">
        <v>1</v>
      </c>
      <c r="K7" t="s">
        <v>429</v>
      </c>
      <c r="L7" t="s">
        <v>444</v>
      </c>
      <c r="M7" t="s">
        <v>123</v>
      </c>
      <c r="N7">
        <v>314002</v>
      </c>
      <c r="Q7">
        <v>1</v>
      </c>
      <c r="R7" t="s">
        <v>444</v>
      </c>
      <c r="S7">
        <v>314002</v>
      </c>
    </row>
    <row r="8" spans="3:19" ht="30" x14ac:dyDescent="0.25">
      <c r="C8" s="7">
        <v>7</v>
      </c>
      <c r="D8" s="7" t="s">
        <v>512</v>
      </c>
      <c r="E8" s="7">
        <v>7</v>
      </c>
      <c r="J8">
        <v>1</v>
      </c>
      <c r="K8" t="s">
        <v>429</v>
      </c>
      <c r="L8" t="s">
        <v>446</v>
      </c>
      <c r="M8" t="s">
        <v>123</v>
      </c>
      <c r="N8">
        <v>314002</v>
      </c>
      <c r="Q8">
        <v>1</v>
      </c>
      <c r="R8" t="s">
        <v>446</v>
      </c>
      <c r="S8">
        <v>314002</v>
      </c>
    </row>
    <row r="9" spans="3:19" x14ac:dyDescent="0.25">
      <c r="C9" s="7">
        <v>8</v>
      </c>
      <c r="D9" s="7" t="s">
        <v>757</v>
      </c>
      <c r="E9" s="7">
        <v>8</v>
      </c>
      <c r="J9">
        <v>1</v>
      </c>
      <c r="K9" t="s">
        <v>429</v>
      </c>
      <c r="L9" t="s">
        <v>448</v>
      </c>
      <c r="M9" t="s">
        <v>123</v>
      </c>
      <c r="N9">
        <v>314002</v>
      </c>
      <c r="Q9">
        <v>1</v>
      </c>
      <c r="R9" t="s">
        <v>448</v>
      </c>
      <c r="S9">
        <v>314002</v>
      </c>
    </row>
    <row r="10" spans="3:19" x14ac:dyDescent="0.25">
      <c r="C10" s="7">
        <v>9</v>
      </c>
      <c r="D10" s="7" t="s">
        <v>470</v>
      </c>
      <c r="E10" s="7">
        <v>9</v>
      </c>
      <c r="J10">
        <v>1</v>
      </c>
      <c r="K10" t="s">
        <v>429</v>
      </c>
      <c r="L10" t="s">
        <v>451</v>
      </c>
      <c r="M10" t="s">
        <v>123</v>
      </c>
      <c r="N10">
        <v>314002</v>
      </c>
      <c r="Q10">
        <v>1</v>
      </c>
      <c r="R10" t="s">
        <v>451</v>
      </c>
      <c r="S10">
        <v>314002</v>
      </c>
    </row>
    <row r="11" spans="3:19" x14ac:dyDescent="0.25">
      <c r="C11" s="7">
        <v>10</v>
      </c>
      <c r="D11" s="7" t="s">
        <v>479</v>
      </c>
      <c r="E11" s="7">
        <v>10</v>
      </c>
      <c r="J11">
        <v>1</v>
      </c>
      <c r="K11" t="s">
        <v>429</v>
      </c>
      <c r="L11" t="s">
        <v>434</v>
      </c>
      <c r="M11" t="s">
        <v>123</v>
      </c>
      <c r="N11">
        <v>314002</v>
      </c>
      <c r="Q11">
        <v>1</v>
      </c>
      <c r="R11" t="s">
        <v>434</v>
      </c>
      <c r="S11">
        <v>314002</v>
      </c>
    </row>
    <row r="12" spans="3:19" x14ac:dyDescent="0.25">
      <c r="C12" s="7">
        <v>11</v>
      </c>
      <c r="D12" s="7" t="s">
        <v>1116</v>
      </c>
      <c r="E12" s="7">
        <v>11</v>
      </c>
      <c r="J12">
        <v>1</v>
      </c>
      <c r="K12" t="s">
        <v>429</v>
      </c>
      <c r="L12" t="s">
        <v>843</v>
      </c>
      <c r="M12" t="s">
        <v>123</v>
      </c>
      <c r="N12">
        <v>314002</v>
      </c>
      <c r="Q12">
        <v>1</v>
      </c>
      <c r="R12" t="s">
        <v>843</v>
      </c>
      <c r="S12">
        <v>314002</v>
      </c>
    </row>
    <row r="13" spans="3:19" ht="30" x14ac:dyDescent="0.25">
      <c r="C13" s="7">
        <v>12</v>
      </c>
      <c r="D13" s="7" t="s">
        <v>475</v>
      </c>
      <c r="E13" s="7">
        <v>12</v>
      </c>
      <c r="J13">
        <v>1</v>
      </c>
      <c r="K13" t="s">
        <v>429</v>
      </c>
      <c r="L13" t="s">
        <v>871</v>
      </c>
      <c r="M13" t="s">
        <v>123</v>
      </c>
      <c r="N13">
        <v>314002</v>
      </c>
      <c r="Q13">
        <v>1</v>
      </c>
      <c r="R13" t="s">
        <v>871</v>
      </c>
      <c r="S13">
        <v>314002</v>
      </c>
    </row>
    <row r="14" spans="3:19" ht="30" x14ac:dyDescent="0.25">
      <c r="C14" s="7">
        <v>13</v>
      </c>
      <c r="D14" s="7" t="s">
        <v>487</v>
      </c>
      <c r="E14" s="7">
        <v>13</v>
      </c>
      <c r="J14">
        <v>1</v>
      </c>
      <c r="K14" t="s">
        <v>429</v>
      </c>
      <c r="L14" t="s">
        <v>447</v>
      </c>
      <c r="M14" t="s">
        <v>123</v>
      </c>
      <c r="N14">
        <v>314002</v>
      </c>
      <c r="Q14">
        <v>1</v>
      </c>
      <c r="R14" t="s">
        <v>447</v>
      </c>
      <c r="S14">
        <v>314002</v>
      </c>
    </row>
    <row r="15" spans="3:19" ht="30" x14ac:dyDescent="0.25">
      <c r="C15" s="7">
        <v>14</v>
      </c>
      <c r="D15" s="7" t="s">
        <v>517</v>
      </c>
      <c r="E15" s="7">
        <v>14</v>
      </c>
      <c r="J15">
        <v>1</v>
      </c>
      <c r="K15" t="s">
        <v>429</v>
      </c>
      <c r="L15" t="s">
        <v>918</v>
      </c>
      <c r="M15" t="s">
        <v>123</v>
      </c>
      <c r="N15">
        <v>314002</v>
      </c>
      <c r="Q15">
        <v>1</v>
      </c>
      <c r="R15" t="s">
        <v>918</v>
      </c>
      <c r="S15">
        <v>314002</v>
      </c>
    </row>
    <row r="16" spans="3:19" x14ac:dyDescent="0.25">
      <c r="C16" s="7">
        <v>15</v>
      </c>
      <c r="D16" s="7" t="s">
        <v>520</v>
      </c>
      <c r="E16" s="7">
        <v>15</v>
      </c>
      <c r="J16">
        <v>1</v>
      </c>
      <c r="K16" t="s">
        <v>429</v>
      </c>
      <c r="L16" t="s">
        <v>442</v>
      </c>
      <c r="M16" t="s">
        <v>123</v>
      </c>
      <c r="N16">
        <v>314002</v>
      </c>
      <c r="Q16">
        <v>1</v>
      </c>
      <c r="R16" t="s">
        <v>442</v>
      </c>
      <c r="S16">
        <v>314002</v>
      </c>
    </row>
    <row r="17" spans="3:19" ht="30" x14ac:dyDescent="0.25">
      <c r="C17" s="7">
        <v>16</v>
      </c>
      <c r="D17" s="7" t="s">
        <v>770</v>
      </c>
      <c r="E17" s="7">
        <v>16</v>
      </c>
      <c r="J17">
        <v>1</v>
      </c>
      <c r="K17" t="s">
        <v>429</v>
      </c>
      <c r="L17" t="s">
        <v>950</v>
      </c>
      <c r="M17" t="s">
        <v>123</v>
      </c>
      <c r="N17">
        <v>314002</v>
      </c>
      <c r="Q17">
        <v>1</v>
      </c>
      <c r="R17" t="s">
        <v>950</v>
      </c>
      <c r="S17">
        <v>314002</v>
      </c>
    </row>
    <row r="18" spans="3:19" x14ac:dyDescent="0.25">
      <c r="C18" s="7">
        <v>17</v>
      </c>
      <c r="D18" s="7" t="s">
        <v>525</v>
      </c>
      <c r="E18" s="7">
        <v>17</v>
      </c>
      <c r="J18">
        <v>1</v>
      </c>
      <c r="K18" t="s">
        <v>429</v>
      </c>
      <c r="L18" t="s">
        <v>951</v>
      </c>
      <c r="M18" t="s">
        <v>123</v>
      </c>
      <c r="N18">
        <v>314002</v>
      </c>
      <c r="Q18">
        <v>1</v>
      </c>
      <c r="R18" t="s">
        <v>951</v>
      </c>
      <c r="S18">
        <v>314002</v>
      </c>
    </row>
    <row r="19" spans="3:19" x14ac:dyDescent="0.25">
      <c r="C19" s="7">
        <v>18</v>
      </c>
      <c r="D19" s="7" t="s">
        <v>924</v>
      </c>
      <c r="E19" s="7">
        <v>18</v>
      </c>
      <c r="J19">
        <v>1</v>
      </c>
      <c r="K19" t="s">
        <v>429</v>
      </c>
      <c r="L19" t="s">
        <v>986</v>
      </c>
      <c r="M19" t="s">
        <v>123</v>
      </c>
      <c r="N19">
        <v>314002</v>
      </c>
      <c r="Q19">
        <v>1</v>
      </c>
      <c r="R19" t="s">
        <v>986</v>
      </c>
      <c r="S19">
        <v>314002</v>
      </c>
    </row>
    <row r="20" spans="3:19" x14ac:dyDescent="0.25">
      <c r="C20" s="7">
        <v>19</v>
      </c>
      <c r="D20" s="7" t="s">
        <v>534</v>
      </c>
      <c r="E20" s="7">
        <v>19</v>
      </c>
      <c r="J20">
        <v>1</v>
      </c>
      <c r="K20" t="s">
        <v>429</v>
      </c>
      <c r="L20" t="s">
        <v>438</v>
      </c>
      <c r="M20" t="s">
        <v>123</v>
      </c>
      <c r="N20">
        <v>314002</v>
      </c>
      <c r="Q20">
        <v>1</v>
      </c>
      <c r="R20" t="s">
        <v>438</v>
      </c>
      <c r="S20">
        <v>314002</v>
      </c>
    </row>
    <row r="21" spans="3:19" ht="30" x14ac:dyDescent="0.25">
      <c r="C21" s="7">
        <v>20</v>
      </c>
      <c r="D21" s="7" t="s">
        <v>543</v>
      </c>
      <c r="E21" s="7">
        <v>20</v>
      </c>
      <c r="J21">
        <v>1</v>
      </c>
      <c r="K21" t="s">
        <v>429</v>
      </c>
      <c r="L21" t="s">
        <v>431</v>
      </c>
      <c r="M21" t="s">
        <v>123</v>
      </c>
      <c r="N21">
        <v>314002</v>
      </c>
      <c r="Q21">
        <v>1</v>
      </c>
      <c r="R21" t="s">
        <v>431</v>
      </c>
      <c r="S21">
        <v>314002</v>
      </c>
    </row>
    <row r="22" spans="3:19" x14ac:dyDescent="0.25">
      <c r="C22" s="7">
        <v>21</v>
      </c>
      <c r="D22" s="7" t="s">
        <v>546</v>
      </c>
      <c r="E22" s="7">
        <v>21</v>
      </c>
      <c r="J22">
        <v>1</v>
      </c>
      <c r="K22" t="s">
        <v>429</v>
      </c>
      <c r="L22" t="s">
        <v>1022</v>
      </c>
      <c r="M22" t="s">
        <v>123</v>
      </c>
      <c r="N22">
        <v>314002</v>
      </c>
      <c r="Q22">
        <v>1</v>
      </c>
      <c r="R22" t="s">
        <v>1022</v>
      </c>
      <c r="S22">
        <v>314002</v>
      </c>
    </row>
    <row r="23" spans="3:19" x14ac:dyDescent="0.25">
      <c r="C23" s="7">
        <v>22</v>
      </c>
      <c r="D23" s="7" t="s">
        <v>549</v>
      </c>
      <c r="E23" s="7">
        <v>22</v>
      </c>
      <c r="J23">
        <v>1</v>
      </c>
      <c r="K23" t="s">
        <v>429</v>
      </c>
      <c r="L23" t="s">
        <v>429</v>
      </c>
      <c r="M23" t="s">
        <v>123</v>
      </c>
      <c r="N23">
        <v>314002</v>
      </c>
      <c r="Q23">
        <v>1</v>
      </c>
      <c r="R23" t="s">
        <v>429</v>
      </c>
      <c r="S23">
        <v>314002</v>
      </c>
    </row>
    <row r="24" spans="3:19" ht="30" x14ac:dyDescent="0.25">
      <c r="C24" s="7">
        <v>23</v>
      </c>
      <c r="D24" s="7" t="s">
        <v>552</v>
      </c>
      <c r="E24" s="7">
        <v>23</v>
      </c>
      <c r="J24">
        <v>1</v>
      </c>
      <c r="K24" t="s">
        <v>429</v>
      </c>
      <c r="L24" t="s">
        <v>1038</v>
      </c>
      <c r="M24" t="s">
        <v>123</v>
      </c>
      <c r="N24">
        <v>314002</v>
      </c>
      <c r="Q24">
        <v>1</v>
      </c>
      <c r="R24" t="s">
        <v>1038</v>
      </c>
      <c r="S24">
        <v>314002</v>
      </c>
    </row>
    <row r="25" spans="3:19" ht="30" x14ac:dyDescent="0.25">
      <c r="C25" s="7">
        <v>24</v>
      </c>
      <c r="D25" s="7" t="s">
        <v>494</v>
      </c>
      <c r="E25" s="7">
        <v>24</v>
      </c>
      <c r="J25">
        <v>1</v>
      </c>
      <c r="K25" t="s">
        <v>429</v>
      </c>
      <c r="L25" t="s">
        <v>433</v>
      </c>
      <c r="M25" t="s">
        <v>123</v>
      </c>
      <c r="N25">
        <v>314002</v>
      </c>
      <c r="Q25">
        <v>1</v>
      </c>
      <c r="R25" t="s">
        <v>433</v>
      </c>
      <c r="S25">
        <v>314002</v>
      </c>
    </row>
    <row r="26" spans="3:19" x14ac:dyDescent="0.25">
      <c r="C26" s="7">
        <v>25</v>
      </c>
      <c r="D26" s="7" t="s">
        <v>560</v>
      </c>
      <c r="E26" s="7">
        <v>25</v>
      </c>
      <c r="J26">
        <v>1</v>
      </c>
      <c r="K26" t="s">
        <v>429</v>
      </c>
      <c r="L26" t="s">
        <v>437</v>
      </c>
      <c r="M26" t="s">
        <v>123</v>
      </c>
      <c r="N26">
        <v>314002</v>
      </c>
      <c r="Q26">
        <v>1</v>
      </c>
      <c r="R26" t="s">
        <v>437</v>
      </c>
      <c r="S26">
        <v>314002</v>
      </c>
    </row>
    <row r="27" spans="3:19" x14ac:dyDescent="0.25">
      <c r="C27" s="7">
        <v>26</v>
      </c>
      <c r="D27" s="7" t="s">
        <v>683</v>
      </c>
      <c r="E27" s="7">
        <v>26</v>
      </c>
      <c r="J27">
        <v>1</v>
      </c>
      <c r="K27" t="s">
        <v>429</v>
      </c>
      <c r="L27" t="s">
        <v>1083</v>
      </c>
      <c r="M27" t="s">
        <v>123</v>
      </c>
      <c r="N27">
        <v>314002</v>
      </c>
      <c r="Q27">
        <v>1</v>
      </c>
      <c r="R27" t="s">
        <v>1083</v>
      </c>
      <c r="S27">
        <v>314002</v>
      </c>
    </row>
    <row r="28" spans="3:19" x14ac:dyDescent="0.25">
      <c r="C28" s="7">
        <v>27</v>
      </c>
      <c r="D28" s="7" t="s">
        <v>504</v>
      </c>
      <c r="E28" s="7">
        <v>27</v>
      </c>
      <c r="J28">
        <v>1</v>
      </c>
      <c r="K28" t="s">
        <v>429</v>
      </c>
      <c r="L28" t="s">
        <v>1092</v>
      </c>
      <c r="M28" t="s">
        <v>123</v>
      </c>
      <c r="N28">
        <v>314002</v>
      </c>
      <c r="Q28">
        <v>1</v>
      </c>
      <c r="R28" t="s">
        <v>1092</v>
      </c>
      <c r="S28">
        <v>314002</v>
      </c>
    </row>
    <row r="29" spans="3:19" x14ac:dyDescent="0.25">
      <c r="C29" s="7">
        <v>28</v>
      </c>
      <c r="D29" s="7" t="s">
        <v>680</v>
      </c>
      <c r="E29" s="7">
        <v>28</v>
      </c>
      <c r="J29">
        <v>1</v>
      </c>
      <c r="K29" t="s">
        <v>429</v>
      </c>
      <c r="L29" t="s">
        <v>1105</v>
      </c>
      <c r="M29" t="s">
        <v>123</v>
      </c>
      <c r="N29">
        <v>314002</v>
      </c>
      <c r="Q29">
        <v>1</v>
      </c>
      <c r="R29" t="s">
        <v>1105</v>
      </c>
      <c r="S29">
        <v>314002</v>
      </c>
    </row>
    <row r="30" spans="3:19" ht="30" x14ac:dyDescent="0.25">
      <c r="C30" s="7">
        <v>29</v>
      </c>
      <c r="D30" s="7" t="s">
        <v>690</v>
      </c>
      <c r="E30" s="7">
        <v>29</v>
      </c>
      <c r="J30">
        <v>1</v>
      </c>
      <c r="K30" t="s">
        <v>429</v>
      </c>
      <c r="L30" t="s">
        <v>453</v>
      </c>
      <c r="M30" t="s">
        <v>123</v>
      </c>
      <c r="N30">
        <v>314002</v>
      </c>
      <c r="Q30">
        <v>1</v>
      </c>
      <c r="R30" t="s">
        <v>453</v>
      </c>
      <c r="S30">
        <v>314002</v>
      </c>
    </row>
    <row r="31" spans="3:19" ht="30" x14ac:dyDescent="0.25">
      <c r="C31" s="7">
        <v>30</v>
      </c>
      <c r="D31" s="7" t="s">
        <v>497</v>
      </c>
      <c r="E31" s="7">
        <v>30</v>
      </c>
      <c r="J31">
        <v>1</v>
      </c>
      <c r="K31" t="s">
        <v>429</v>
      </c>
      <c r="L31" t="s">
        <v>1134</v>
      </c>
      <c r="M31" t="s">
        <v>123</v>
      </c>
      <c r="N31">
        <v>314002</v>
      </c>
      <c r="Q31">
        <v>1</v>
      </c>
      <c r="R31" t="s">
        <v>1134</v>
      </c>
      <c r="S31">
        <v>314002</v>
      </c>
    </row>
    <row r="32" spans="3:19" x14ac:dyDescent="0.25">
      <c r="C32" s="7">
        <v>31</v>
      </c>
      <c r="D32" s="7" t="s">
        <v>698</v>
      </c>
      <c r="E32" s="7">
        <v>31</v>
      </c>
      <c r="J32">
        <v>2</v>
      </c>
      <c r="K32" t="s">
        <v>454</v>
      </c>
      <c r="L32" t="s">
        <v>455</v>
      </c>
      <c r="M32" t="s">
        <v>123</v>
      </c>
      <c r="N32">
        <v>314002</v>
      </c>
      <c r="Q32">
        <v>2</v>
      </c>
      <c r="R32" t="s">
        <v>455</v>
      </c>
      <c r="S32">
        <v>314002</v>
      </c>
    </row>
    <row r="33" spans="3:19" x14ac:dyDescent="0.25">
      <c r="C33" s="7">
        <v>32</v>
      </c>
      <c r="D33" s="7" t="s">
        <v>701</v>
      </c>
      <c r="E33" s="7">
        <v>32</v>
      </c>
      <c r="J33">
        <v>2</v>
      </c>
      <c r="K33" t="s">
        <v>454</v>
      </c>
      <c r="L33" t="s">
        <v>457</v>
      </c>
      <c r="M33" t="s">
        <v>123</v>
      </c>
      <c r="N33">
        <v>314002</v>
      </c>
      <c r="Q33">
        <v>2</v>
      </c>
      <c r="R33" t="s">
        <v>457</v>
      </c>
      <c r="S33">
        <v>314002</v>
      </c>
    </row>
    <row r="34" spans="3:19" x14ac:dyDescent="0.25">
      <c r="C34" s="7">
        <v>33</v>
      </c>
      <c r="D34" s="7" t="s">
        <v>1060</v>
      </c>
      <c r="E34" s="7">
        <v>33</v>
      </c>
      <c r="J34">
        <v>2</v>
      </c>
      <c r="K34" t="s">
        <v>454</v>
      </c>
      <c r="L34" t="s">
        <v>459</v>
      </c>
      <c r="M34" t="s">
        <v>123</v>
      </c>
      <c r="N34">
        <v>314002</v>
      </c>
      <c r="Q34">
        <v>2</v>
      </c>
      <c r="R34" t="s">
        <v>459</v>
      </c>
      <c r="S34">
        <v>314002</v>
      </c>
    </row>
    <row r="35" spans="3:19" ht="30" x14ac:dyDescent="0.25">
      <c r="C35" s="7">
        <v>34</v>
      </c>
      <c r="D35" s="7" t="s">
        <v>716</v>
      </c>
      <c r="E35" s="7">
        <v>34</v>
      </c>
      <c r="J35">
        <v>3</v>
      </c>
      <c r="K35" t="s">
        <v>887</v>
      </c>
      <c r="L35" t="s">
        <v>842</v>
      </c>
      <c r="M35" t="s">
        <v>142</v>
      </c>
      <c r="N35">
        <v>314009</v>
      </c>
      <c r="Q35">
        <v>3</v>
      </c>
      <c r="R35" t="s">
        <v>842</v>
      </c>
      <c r="S35">
        <v>314009</v>
      </c>
    </row>
    <row r="36" spans="3:19" x14ac:dyDescent="0.25">
      <c r="C36" s="7">
        <v>35</v>
      </c>
      <c r="D36" s="7" t="s">
        <v>741</v>
      </c>
      <c r="E36" s="7">
        <v>35</v>
      </c>
      <c r="J36">
        <v>4</v>
      </c>
      <c r="K36" t="s">
        <v>462</v>
      </c>
      <c r="L36" t="s">
        <v>462</v>
      </c>
      <c r="M36" t="s">
        <v>121</v>
      </c>
      <c r="N36">
        <v>314001</v>
      </c>
      <c r="Q36">
        <v>4</v>
      </c>
      <c r="R36" t="s">
        <v>462</v>
      </c>
      <c r="S36">
        <v>314001</v>
      </c>
    </row>
    <row r="37" spans="3:19" x14ac:dyDescent="0.25">
      <c r="C37" s="7">
        <v>36</v>
      </c>
      <c r="D37" s="7" t="s">
        <v>647</v>
      </c>
      <c r="E37" s="7">
        <v>36</v>
      </c>
      <c r="J37">
        <v>4</v>
      </c>
      <c r="K37" t="s">
        <v>462</v>
      </c>
      <c r="L37" t="s">
        <v>462</v>
      </c>
      <c r="M37" t="s">
        <v>1187</v>
      </c>
      <c r="N37">
        <v>314001</v>
      </c>
      <c r="Q37">
        <v>4</v>
      </c>
      <c r="R37" t="s">
        <v>462</v>
      </c>
      <c r="S37">
        <v>314001</v>
      </c>
    </row>
    <row r="38" spans="3:19" ht="30" x14ac:dyDescent="0.25">
      <c r="C38" s="7">
        <v>37</v>
      </c>
      <c r="D38" s="7" t="s">
        <v>744</v>
      </c>
      <c r="E38" s="7">
        <v>37</v>
      </c>
      <c r="J38">
        <v>5</v>
      </c>
      <c r="K38" t="s">
        <v>465</v>
      </c>
      <c r="L38" t="s">
        <v>466</v>
      </c>
      <c r="M38" t="s">
        <v>142</v>
      </c>
      <c r="N38">
        <v>314009</v>
      </c>
      <c r="Q38">
        <v>5</v>
      </c>
      <c r="R38" t="s">
        <v>466</v>
      </c>
      <c r="S38">
        <v>314009</v>
      </c>
    </row>
    <row r="39" spans="3:19" x14ac:dyDescent="0.25">
      <c r="C39" s="7">
        <v>38</v>
      </c>
      <c r="D39" s="7" t="s">
        <v>745</v>
      </c>
      <c r="E39" s="7">
        <v>38</v>
      </c>
      <c r="J39">
        <v>6</v>
      </c>
      <c r="K39" t="s">
        <v>662</v>
      </c>
      <c r="L39" t="s">
        <v>662</v>
      </c>
      <c r="M39" t="s">
        <v>121</v>
      </c>
      <c r="N39">
        <v>314001</v>
      </c>
      <c r="Q39">
        <v>6</v>
      </c>
      <c r="R39" t="s">
        <v>662</v>
      </c>
      <c r="S39">
        <v>314001</v>
      </c>
    </row>
    <row r="40" spans="3:19" x14ac:dyDescent="0.25">
      <c r="C40" s="7">
        <v>39</v>
      </c>
      <c r="D40" s="7" t="s">
        <v>753</v>
      </c>
      <c r="E40" s="7">
        <v>39</v>
      </c>
      <c r="J40">
        <v>6</v>
      </c>
      <c r="K40" t="s">
        <v>662</v>
      </c>
      <c r="L40" t="s">
        <v>662</v>
      </c>
      <c r="M40" t="s">
        <v>1187</v>
      </c>
      <c r="N40">
        <v>314001</v>
      </c>
      <c r="Q40">
        <v>6</v>
      </c>
      <c r="R40" t="s">
        <v>662</v>
      </c>
      <c r="S40">
        <v>314001</v>
      </c>
    </row>
    <row r="41" spans="3:19" x14ac:dyDescent="0.25">
      <c r="C41" s="7">
        <v>40</v>
      </c>
      <c r="D41" s="7" t="s">
        <v>501</v>
      </c>
      <c r="E41" s="7">
        <v>40</v>
      </c>
      <c r="J41">
        <v>7</v>
      </c>
      <c r="K41" t="s">
        <v>512</v>
      </c>
      <c r="L41" t="s">
        <v>513</v>
      </c>
      <c r="M41" t="s">
        <v>142</v>
      </c>
      <c r="N41">
        <v>314009</v>
      </c>
      <c r="Q41">
        <v>7</v>
      </c>
      <c r="R41" t="s">
        <v>513</v>
      </c>
      <c r="S41">
        <v>314009</v>
      </c>
    </row>
    <row r="42" spans="3:19" x14ac:dyDescent="0.25">
      <c r="C42" s="7">
        <v>41</v>
      </c>
      <c r="D42" s="7" t="s">
        <v>906</v>
      </c>
      <c r="E42" s="7">
        <v>41</v>
      </c>
      <c r="J42">
        <v>8</v>
      </c>
      <c r="K42" t="s">
        <v>757</v>
      </c>
      <c r="L42" t="s">
        <v>757</v>
      </c>
      <c r="M42" t="s">
        <v>151</v>
      </c>
      <c r="N42">
        <v>314083</v>
      </c>
      <c r="Q42">
        <v>8</v>
      </c>
      <c r="R42" t="s">
        <v>757</v>
      </c>
      <c r="S42">
        <v>314083</v>
      </c>
    </row>
    <row r="43" spans="3:19" ht="30" x14ac:dyDescent="0.25">
      <c r="C43" s="7">
        <v>42</v>
      </c>
      <c r="D43" s="7" t="s">
        <v>1064</v>
      </c>
      <c r="E43" s="7">
        <v>42</v>
      </c>
      <c r="J43">
        <v>9</v>
      </c>
      <c r="K43" t="s">
        <v>470</v>
      </c>
      <c r="L43" t="s">
        <v>471</v>
      </c>
      <c r="M43" t="s">
        <v>160</v>
      </c>
      <c r="N43">
        <v>314116</v>
      </c>
      <c r="Q43">
        <v>9</v>
      </c>
      <c r="R43" t="s">
        <v>471</v>
      </c>
      <c r="S43">
        <v>314116</v>
      </c>
    </row>
    <row r="44" spans="3:19" x14ac:dyDescent="0.25">
      <c r="C44" s="7">
        <v>43</v>
      </c>
      <c r="D44" s="7" t="s">
        <v>695</v>
      </c>
      <c r="E44" s="7">
        <v>43</v>
      </c>
      <c r="J44">
        <v>10</v>
      </c>
      <c r="K44" t="s">
        <v>479</v>
      </c>
      <c r="L44" t="s">
        <v>480</v>
      </c>
      <c r="M44" t="s">
        <v>148</v>
      </c>
      <c r="N44">
        <v>314050</v>
      </c>
      <c r="Q44">
        <v>10</v>
      </c>
      <c r="R44" t="s">
        <v>480</v>
      </c>
      <c r="S44">
        <v>314050</v>
      </c>
    </row>
    <row r="45" spans="3:19" x14ac:dyDescent="0.25">
      <c r="C45" s="7">
        <v>44</v>
      </c>
      <c r="D45" s="7" t="s">
        <v>637</v>
      </c>
      <c r="E45" s="7">
        <v>44</v>
      </c>
      <c r="J45">
        <v>10</v>
      </c>
      <c r="K45" t="s">
        <v>479</v>
      </c>
      <c r="L45" t="s">
        <v>482</v>
      </c>
      <c r="M45" t="s">
        <v>148</v>
      </c>
      <c r="N45">
        <v>314050</v>
      </c>
      <c r="Q45">
        <v>10</v>
      </c>
      <c r="R45" t="s">
        <v>482</v>
      </c>
      <c r="S45">
        <v>314050</v>
      </c>
    </row>
    <row r="46" spans="3:19" x14ac:dyDescent="0.25">
      <c r="C46" s="7">
        <v>45</v>
      </c>
      <c r="D46" s="7" t="s">
        <v>759</v>
      </c>
      <c r="E46" s="7">
        <v>45</v>
      </c>
      <c r="J46">
        <v>10</v>
      </c>
      <c r="K46" t="s">
        <v>479</v>
      </c>
      <c r="L46" t="s">
        <v>479</v>
      </c>
      <c r="M46" t="s">
        <v>148</v>
      </c>
      <c r="N46">
        <v>314050</v>
      </c>
      <c r="Q46">
        <v>10</v>
      </c>
      <c r="R46" t="s">
        <v>479</v>
      </c>
      <c r="S46">
        <v>314050</v>
      </c>
    </row>
    <row r="47" spans="3:19" x14ac:dyDescent="0.25">
      <c r="C47" s="7">
        <v>46</v>
      </c>
      <c r="D47" s="7" t="s">
        <v>530</v>
      </c>
      <c r="E47" s="7">
        <v>46</v>
      </c>
      <c r="J47">
        <v>11</v>
      </c>
      <c r="K47" t="s">
        <v>1116</v>
      </c>
      <c r="L47" t="s">
        <v>1116</v>
      </c>
      <c r="M47" t="s">
        <v>123</v>
      </c>
      <c r="N47">
        <v>314002</v>
      </c>
      <c r="Q47">
        <v>11</v>
      </c>
      <c r="R47" t="s">
        <v>1116</v>
      </c>
      <c r="S47">
        <v>314002</v>
      </c>
    </row>
    <row r="48" spans="3:19" x14ac:dyDescent="0.25">
      <c r="C48" s="7">
        <v>47</v>
      </c>
      <c r="D48" s="7" t="s">
        <v>773</v>
      </c>
      <c r="E48" s="7">
        <v>47</v>
      </c>
      <c r="J48">
        <v>12</v>
      </c>
      <c r="K48" t="s">
        <v>475</v>
      </c>
      <c r="L48" t="s">
        <v>476</v>
      </c>
      <c r="M48" t="s">
        <v>160</v>
      </c>
      <c r="N48">
        <v>314116</v>
      </c>
      <c r="Q48">
        <v>12</v>
      </c>
      <c r="R48" t="s">
        <v>476</v>
      </c>
      <c r="S48">
        <v>314116</v>
      </c>
    </row>
    <row r="49" spans="3:19" ht="30" x14ac:dyDescent="0.25">
      <c r="C49" s="7">
        <v>48</v>
      </c>
      <c r="D49" s="7" t="s">
        <v>776</v>
      </c>
      <c r="E49" s="7">
        <v>48</v>
      </c>
      <c r="J49">
        <v>12</v>
      </c>
      <c r="K49" t="s">
        <v>475</v>
      </c>
      <c r="L49" t="s">
        <v>1114</v>
      </c>
      <c r="M49" t="s">
        <v>160</v>
      </c>
      <c r="N49">
        <v>314116</v>
      </c>
      <c r="Q49">
        <v>12</v>
      </c>
      <c r="R49" t="s">
        <v>1114</v>
      </c>
      <c r="S49">
        <v>314116</v>
      </c>
    </row>
    <row r="50" spans="3:19" x14ac:dyDescent="0.25">
      <c r="C50" s="7">
        <v>49</v>
      </c>
      <c r="D50" s="7" t="s">
        <v>515</v>
      </c>
      <c r="E50" s="7">
        <v>49</v>
      </c>
      <c r="J50">
        <v>13</v>
      </c>
      <c r="K50" t="s">
        <v>487</v>
      </c>
      <c r="L50" t="s">
        <v>488</v>
      </c>
      <c r="M50" t="s">
        <v>148</v>
      </c>
      <c r="N50">
        <v>314050</v>
      </c>
      <c r="Q50">
        <v>13</v>
      </c>
      <c r="R50" t="s">
        <v>488</v>
      </c>
      <c r="S50">
        <v>314050</v>
      </c>
    </row>
    <row r="51" spans="3:19" x14ac:dyDescent="0.25">
      <c r="C51" s="7">
        <v>50</v>
      </c>
      <c r="D51" s="7" t="s">
        <v>817</v>
      </c>
      <c r="E51" s="7">
        <v>50</v>
      </c>
      <c r="J51">
        <v>13</v>
      </c>
      <c r="K51" t="s">
        <v>487</v>
      </c>
      <c r="L51" t="s">
        <v>490</v>
      </c>
      <c r="M51" t="s">
        <v>148</v>
      </c>
      <c r="N51">
        <v>314050</v>
      </c>
      <c r="Q51">
        <v>13</v>
      </c>
      <c r="R51" t="s">
        <v>490</v>
      </c>
      <c r="S51">
        <v>314050</v>
      </c>
    </row>
    <row r="52" spans="3:19" x14ac:dyDescent="0.25">
      <c r="C52" s="7" t="s">
        <v>1186</v>
      </c>
      <c r="D52" s="7" t="s">
        <v>1186</v>
      </c>
      <c r="E52" s="7" t="s">
        <v>1186</v>
      </c>
      <c r="J52">
        <v>13</v>
      </c>
      <c r="K52" t="s">
        <v>487</v>
      </c>
      <c r="L52" t="s">
        <v>492</v>
      </c>
      <c r="M52" t="s">
        <v>148</v>
      </c>
      <c r="N52">
        <v>314050</v>
      </c>
      <c r="Q52">
        <v>13</v>
      </c>
      <c r="R52" t="s">
        <v>492</v>
      </c>
      <c r="S52">
        <v>314050</v>
      </c>
    </row>
    <row r="53" spans="3:19" x14ac:dyDescent="0.25">
      <c r="J53">
        <v>14</v>
      </c>
      <c r="K53" t="s">
        <v>517</v>
      </c>
      <c r="L53" t="s">
        <v>518</v>
      </c>
      <c r="M53" t="s">
        <v>142</v>
      </c>
      <c r="N53">
        <v>314009</v>
      </c>
      <c r="Q53">
        <v>14</v>
      </c>
      <c r="R53" t="s">
        <v>518</v>
      </c>
      <c r="S53">
        <v>314009</v>
      </c>
    </row>
    <row r="54" spans="3:19" x14ac:dyDescent="0.25">
      <c r="J54">
        <v>14</v>
      </c>
      <c r="K54" t="s">
        <v>598</v>
      </c>
      <c r="L54" t="s">
        <v>518</v>
      </c>
      <c r="M54" t="s">
        <v>123</v>
      </c>
      <c r="N54">
        <v>314002</v>
      </c>
      <c r="Q54">
        <v>14</v>
      </c>
      <c r="R54" t="s">
        <v>518</v>
      </c>
      <c r="S54">
        <v>314002</v>
      </c>
    </row>
    <row r="55" spans="3:19" x14ac:dyDescent="0.25">
      <c r="J55">
        <v>15</v>
      </c>
      <c r="K55" t="s">
        <v>520</v>
      </c>
      <c r="L55" t="s">
        <v>521</v>
      </c>
      <c r="M55" t="s">
        <v>118</v>
      </c>
      <c r="N55">
        <v>313001</v>
      </c>
      <c r="Q55">
        <v>15</v>
      </c>
      <c r="R55" t="s">
        <v>521</v>
      </c>
      <c r="S55">
        <v>313001</v>
      </c>
    </row>
    <row r="56" spans="3:19" x14ac:dyDescent="0.25">
      <c r="J56">
        <v>15</v>
      </c>
      <c r="K56" t="s">
        <v>520</v>
      </c>
      <c r="L56" t="s">
        <v>523</v>
      </c>
      <c r="M56" t="s">
        <v>118</v>
      </c>
      <c r="N56">
        <v>313001</v>
      </c>
      <c r="Q56">
        <v>15</v>
      </c>
      <c r="R56" t="s">
        <v>523</v>
      </c>
      <c r="S56">
        <v>313001</v>
      </c>
    </row>
    <row r="57" spans="3:19" x14ac:dyDescent="0.25">
      <c r="J57">
        <v>16</v>
      </c>
      <c r="K57" t="s">
        <v>770</v>
      </c>
      <c r="L57" t="s">
        <v>771</v>
      </c>
      <c r="M57" t="s">
        <v>154</v>
      </c>
      <c r="N57">
        <v>314112</v>
      </c>
      <c r="Q57">
        <v>16</v>
      </c>
      <c r="R57" t="s">
        <v>771</v>
      </c>
      <c r="S57">
        <v>314112</v>
      </c>
    </row>
    <row r="58" spans="3:19" x14ac:dyDescent="0.25">
      <c r="J58">
        <v>17</v>
      </c>
      <c r="K58" t="s">
        <v>525</v>
      </c>
      <c r="L58" t="s">
        <v>526</v>
      </c>
      <c r="M58" t="s">
        <v>154</v>
      </c>
      <c r="N58">
        <v>314112</v>
      </c>
      <c r="Q58">
        <v>17</v>
      </c>
      <c r="R58" t="s">
        <v>526</v>
      </c>
      <c r="S58">
        <v>314112</v>
      </c>
    </row>
    <row r="59" spans="3:19" x14ac:dyDescent="0.25">
      <c r="J59">
        <v>18</v>
      </c>
      <c r="K59" t="s">
        <v>924</v>
      </c>
      <c r="L59" t="s">
        <v>925</v>
      </c>
      <c r="M59" t="s">
        <v>118</v>
      </c>
      <c r="N59">
        <v>313001</v>
      </c>
      <c r="Q59">
        <v>18</v>
      </c>
      <c r="R59" t="s">
        <v>925</v>
      </c>
      <c r="S59">
        <v>313001</v>
      </c>
    </row>
    <row r="60" spans="3:19" x14ac:dyDescent="0.25">
      <c r="J60">
        <v>18</v>
      </c>
      <c r="K60" t="s">
        <v>1147</v>
      </c>
      <c r="L60" t="s">
        <v>1148</v>
      </c>
      <c r="M60" t="s">
        <v>118</v>
      </c>
      <c r="N60">
        <v>313001</v>
      </c>
      <c r="Q60">
        <v>18</v>
      </c>
      <c r="R60" t="s">
        <v>1148</v>
      </c>
      <c r="S60">
        <v>313001</v>
      </c>
    </row>
    <row r="61" spans="3:19" x14ac:dyDescent="0.25">
      <c r="J61">
        <v>19</v>
      </c>
      <c r="K61" t="s">
        <v>534</v>
      </c>
      <c r="L61" t="s">
        <v>455</v>
      </c>
      <c r="M61" t="s">
        <v>123</v>
      </c>
      <c r="N61">
        <v>314002</v>
      </c>
      <c r="Q61">
        <v>19</v>
      </c>
      <c r="R61" t="s">
        <v>455</v>
      </c>
      <c r="S61">
        <v>314002</v>
      </c>
    </row>
    <row r="62" spans="3:19" x14ac:dyDescent="0.25">
      <c r="J62">
        <v>19</v>
      </c>
      <c r="K62" t="s">
        <v>534</v>
      </c>
      <c r="L62" t="s">
        <v>457</v>
      </c>
      <c r="M62" t="s">
        <v>123</v>
      </c>
      <c r="N62">
        <v>314002</v>
      </c>
      <c r="Q62">
        <v>19</v>
      </c>
      <c r="R62" t="s">
        <v>457</v>
      </c>
      <c r="S62">
        <v>314002</v>
      </c>
    </row>
    <row r="63" spans="3:19" x14ac:dyDescent="0.25">
      <c r="J63">
        <v>19</v>
      </c>
      <c r="K63" t="s">
        <v>534</v>
      </c>
      <c r="L63" t="s">
        <v>538</v>
      </c>
      <c r="M63" t="s">
        <v>123</v>
      </c>
      <c r="N63">
        <v>314002</v>
      </c>
      <c r="Q63">
        <v>19</v>
      </c>
      <c r="R63" t="s">
        <v>538</v>
      </c>
      <c r="S63">
        <v>314002</v>
      </c>
    </row>
    <row r="64" spans="3:19" x14ac:dyDescent="0.25">
      <c r="J64">
        <v>19</v>
      </c>
      <c r="K64" t="s">
        <v>540</v>
      </c>
      <c r="L64" t="s">
        <v>541</v>
      </c>
      <c r="M64" t="s">
        <v>123</v>
      </c>
      <c r="N64">
        <v>314002</v>
      </c>
      <c r="Q64">
        <v>19</v>
      </c>
      <c r="R64" t="s">
        <v>541</v>
      </c>
      <c r="S64">
        <v>314002</v>
      </c>
    </row>
    <row r="65" spans="10:19" x14ac:dyDescent="0.25">
      <c r="J65">
        <v>20</v>
      </c>
      <c r="K65" t="s">
        <v>543</v>
      </c>
      <c r="L65" t="s">
        <v>459</v>
      </c>
      <c r="M65" t="s">
        <v>123</v>
      </c>
      <c r="N65">
        <v>314002</v>
      </c>
      <c r="Q65">
        <v>20</v>
      </c>
      <c r="R65" t="s">
        <v>459</v>
      </c>
      <c r="S65">
        <v>314002</v>
      </c>
    </row>
    <row r="66" spans="10:19" x14ac:dyDescent="0.25">
      <c r="J66">
        <v>20</v>
      </c>
      <c r="K66" t="s">
        <v>543</v>
      </c>
      <c r="L66" t="s">
        <v>430</v>
      </c>
      <c r="M66" t="s">
        <v>123</v>
      </c>
      <c r="N66">
        <v>314002</v>
      </c>
      <c r="Q66">
        <v>20</v>
      </c>
      <c r="R66" t="s">
        <v>430</v>
      </c>
      <c r="S66">
        <v>314002</v>
      </c>
    </row>
    <row r="67" spans="10:19" x14ac:dyDescent="0.25">
      <c r="J67">
        <v>21</v>
      </c>
      <c r="K67" t="s">
        <v>546</v>
      </c>
      <c r="L67" t="s">
        <v>547</v>
      </c>
      <c r="M67" t="s">
        <v>154</v>
      </c>
      <c r="N67">
        <v>314112</v>
      </c>
      <c r="Q67">
        <v>21</v>
      </c>
      <c r="R67" t="s">
        <v>547</v>
      </c>
      <c r="S67">
        <v>314112</v>
      </c>
    </row>
    <row r="68" spans="10:19" x14ac:dyDescent="0.25">
      <c r="J68">
        <v>22</v>
      </c>
      <c r="K68" t="s">
        <v>549</v>
      </c>
      <c r="L68" t="s">
        <v>550</v>
      </c>
      <c r="M68" t="s">
        <v>123</v>
      </c>
      <c r="N68">
        <v>314002</v>
      </c>
      <c r="Q68">
        <v>22</v>
      </c>
      <c r="R68" t="s">
        <v>550</v>
      </c>
      <c r="S68">
        <v>314002</v>
      </c>
    </row>
    <row r="69" spans="10:19" x14ac:dyDescent="0.25">
      <c r="J69">
        <v>23</v>
      </c>
      <c r="K69" t="s">
        <v>552</v>
      </c>
      <c r="L69" t="s">
        <v>553</v>
      </c>
      <c r="M69" t="s">
        <v>118</v>
      </c>
      <c r="N69">
        <v>313001</v>
      </c>
      <c r="Q69">
        <v>23</v>
      </c>
      <c r="R69" t="s">
        <v>553</v>
      </c>
      <c r="S69">
        <v>313001</v>
      </c>
    </row>
    <row r="70" spans="10:19" x14ac:dyDescent="0.25">
      <c r="J70">
        <v>24</v>
      </c>
      <c r="K70" t="s">
        <v>494</v>
      </c>
      <c r="L70" t="s">
        <v>495</v>
      </c>
      <c r="M70" t="s">
        <v>148</v>
      </c>
      <c r="N70">
        <v>314050</v>
      </c>
      <c r="Q70">
        <v>24</v>
      </c>
      <c r="R70" t="s">
        <v>495</v>
      </c>
      <c r="S70">
        <v>314050</v>
      </c>
    </row>
    <row r="71" spans="10:19" x14ac:dyDescent="0.25">
      <c r="J71">
        <v>24</v>
      </c>
      <c r="K71" t="s">
        <v>494</v>
      </c>
      <c r="L71" t="s">
        <v>496</v>
      </c>
      <c r="M71" t="s">
        <v>148</v>
      </c>
      <c r="N71">
        <v>314050</v>
      </c>
      <c r="Q71">
        <v>24</v>
      </c>
      <c r="R71" t="s">
        <v>496</v>
      </c>
      <c r="S71">
        <v>314050</v>
      </c>
    </row>
    <row r="72" spans="10:19" x14ac:dyDescent="0.25">
      <c r="J72">
        <v>24</v>
      </c>
      <c r="K72" t="s">
        <v>494</v>
      </c>
      <c r="L72" t="s">
        <v>1027</v>
      </c>
      <c r="M72" t="s">
        <v>148</v>
      </c>
      <c r="N72">
        <v>314050</v>
      </c>
      <c r="Q72">
        <v>24</v>
      </c>
      <c r="R72" t="s">
        <v>1027</v>
      </c>
      <c r="S72">
        <v>314050</v>
      </c>
    </row>
    <row r="73" spans="10:19" x14ac:dyDescent="0.25">
      <c r="J73">
        <v>24</v>
      </c>
      <c r="K73" t="s">
        <v>494</v>
      </c>
      <c r="L73" t="s">
        <v>1030</v>
      </c>
      <c r="M73" t="s">
        <v>148</v>
      </c>
      <c r="N73">
        <v>314050</v>
      </c>
      <c r="Q73">
        <v>24</v>
      </c>
      <c r="R73" t="s">
        <v>1030</v>
      </c>
      <c r="S73">
        <v>314050</v>
      </c>
    </row>
    <row r="74" spans="10:19" x14ac:dyDescent="0.25">
      <c r="J74">
        <v>25</v>
      </c>
      <c r="K74" t="s">
        <v>560</v>
      </c>
      <c r="L74" t="s">
        <v>561</v>
      </c>
      <c r="M74" t="s">
        <v>123</v>
      </c>
      <c r="N74">
        <v>314002</v>
      </c>
      <c r="Q74">
        <v>25</v>
      </c>
      <c r="R74" t="s">
        <v>561</v>
      </c>
      <c r="S74">
        <v>314002</v>
      </c>
    </row>
    <row r="75" spans="10:19" x14ac:dyDescent="0.25">
      <c r="J75">
        <v>25</v>
      </c>
      <c r="K75" t="s">
        <v>560</v>
      </c>
      <c r="L75" t="s">
        <v>579</v>
      </c>
      <c r="M75" t="s">
        <v>121</v>
      </c>
      <c r="N75">
        <v>314001</v>
      </c>
      <c r="Q75">
        <v>25</v>
      </c>
      <c r="R75" t="s">
        <v>579</v>
      </c>
      <c r="S75">
        <v>314001</v>
      </c>
    </row>
    <row r="76" spans="10:19" x14ac:dyDescent="0.25">
      <c r="J76">
        <v>25</v>
      </c>
      <c r="K76" t="s">
        <v>560</v>
      </c>
      <c r="L76" t="s">
        <v>581</v>
      </c>
      <c r="M76" t="s">
        <v>151</v>
      </c>
      <c r="N76">
        <v>314083</v>
      </c>
      <c r="Q76">
        <v>25</v>
      </c>
      <c r="R76" t="s">
        <v>581</v>
      </c>
      <c r="S76">
        <v>314083</v>
      </c>
    </row>
    <row r="77" spans="10:19" x14ac:dyDescent="0.25">
      <c r="J77">
        <v>25</v>
      </c>
      <c r="K77" t="s">
        <v>560</v>
      </c>
      <c r="L77" t="s">
        <v>584</v>
      </c>
      <c r="M77" t="s">
        <v>118</v>
      </c>
      <c r="N77">
        <v>313001</v>
      </c>
      <c r="Q77">
        <v>25</v>
      </c>
      <c r="R77" t="s">
        <v>584</v>
      </c>
      <c r="S77">
        <v>313001</v>
      </c>
    </row>
    <row r="78" spans="10:19" x14ac:dyDescent="0.25">
      <c r="J78">
        <v>25</v>
      </c>
      <c r="K78" t="s">
        <v>560</v>
      </c>
      <c r="L78" t="s">
        <v>586</v>
      </c>
      <c r="M78" t="s">
        <v>121</v>
      </c>
      <c r="N78">
        <v>314001</v>
      </c>
      <c r="Q78">
        <v>25</v>
      </c>
      <c r="R78" t="s">
        <v>586</v>
      </c>
      <c r="S78">
        <v>314001</v>
      </c>
    </row>
    <row r="79" spans="10:19" x14ac:dyDescent="0.25">
      <c r="J79">
        <v>25</v>
      </c>
      <c r="K79" t="s">
        <v>560</v>
      </c>
      <c r="L79" t="s">
        <v>600</v>
      </c>
      <c r="M79" t="s">
        <v>142</v>
      </c>
      <c r="N79">
        <v>314009</v>
      </c>
      <c r="Q79">
        <v>25</v>
      </c>
      <c r="R79" t="s">
        <v>600</v>
      </c>
      <c r="S79">
        <v>314009</v>
      </c>
    </row>
    <row r="80" spans="10:19" x14ac:dyDescent="0.25">
      <c r="J80">
        <v>25</v>
      </c>
      <c r="K80" t="s">
        <v>560</v>
      </c>
      <c r="L80" t="s">
        <v>600</v>
      </c>
      <c r="M80" t="s">
        <v>121</v>
      </c>
      <c r="N80">
        <v>314001</v>
      </c>
      <c r="Q80">
        <v>25</v>
      </c>
      <c r="R80" t="s">
        <v>600</v>
      </c>
      <c r="S80">
        <v>314001</v>
      </c>
    </row>
    <row r="81" spans="10:19" x14ac:dyDescent="0.25">
      <c r="J81">
        <v>25</v>
      </c>
      <c r="K81" t="s">
        <v>560</v>
      </c>
      <c r="L81" t="s">
        <v>603</v>
      </c>
      <c r="M81" t="s">
        <v>121</v>
      </c>
      <c r="N81">
        <v>314001</v>
      </c>
      <c r="Q81">
        <v>25</v>
      </c>
      <c r="R81" t="s">
        <v>603</v>
      </c>
      <c r="S81">
        <v>314001</v>
      </c>
    </row>
    <row r="82" spans="10:19" x14ac:dyDescent="0.25">
      <c r="J82">
        <v>25</v>
      </c>
      <c r="K82" t="s">
        <v>560</v>
      </c>
      <c r="L82" t="s">
        <v>668</v>
      </c>
      <c r="M82" t="s">
        <v>121</v>
      </c>
      <c r="N82">
        <v>314001</v>
      </c>
      <c r="Q82">
        <v>25</v>
      </c>
      <c r="R82" t="s">
        <v>668</v>
      </c>
      <c r="S82">
        <v>314001</v>
      </c>
    </row>
    <row r="83" spans="10:19" x14ac:dyDescent="0.25">
      <c r="J83">
        <v>25</v>
      </c>
      <c r="K83" t="s">
        <v>560</v>
      </c>
      <c r="L83" t="s">
        <v>579</v>
      </c>
      <c r="M83" t="s">
        <v>1187</v>
      </c>
      <c r="N83">
        <v>314001</v>
      </c>
      <c r="Q83">
        <v>25</v>
      </c>
      <c r="R83" t="s">
        <v>579</v>
      </c>
      <c r="S83">
        <v>314001</v>
      </c>
    </row>
    <row r="84" spans="10:19" x14ac:dyDescent="0.25">
      <c r="J84">
        <v>25</v>
      </c>
      <c r="K84" t="s">
        <v>560</v>
      </c>
      <c r="L84" t="s">
        <v>586</v>
      </c>
      <c r="M84" t="s">
        <v>1187</v>
      </c>
      <c r="N84">
        <v>314001</v>
      </c>
      <c r="Q84">
        <v>25</v>
      </c>
      <c r="R84" t="s">
        <v>586</v>
      </c>
      <c r="S84">
        <v>314001</v>
      </c>
    </row>
    <row r="85" spans="10:19" x14ac:dyDescent="0.25">
      <c r="J85">
        <v>25</v>
      </c>
      <c r="K85" t="s">
        <v>560</v>
      </c>
      <c r="L85" t="s">
        <v>600</v>
      </c>
      <c r="M85" t="s">
        <v>1187</v>
      </c>
      <c r="N85">
        <v>314001</v>
      </c>
      <c r="Q85">
        <v>25</v>
      </c>
      <c r="R85" t="s">
        <v>600</v>
      </c>
      <c r="S85">
        <v>314001</v>
      </c>
    </row>
    <row r="86" spans="10:19" x14ac:dyDescent="0.25">
      <c r="J86">
        <v>25</v>
      </c>
      <c r="K86" t="s">
        <v>560</v>
      </c>
      <c r="L86" t="s">
        <v>603</v>
      </c>
      <c r="M86" t="s">
        <v>1187</v>
      </c>
      <c r="N86">
        <v>314001</v>
      </c>
      <c r="Q86">
        <v>25</v>
      </c>
      <c r="R86" t="s">
        <v>603</v>
      </c>
      <c r="S86">
        <v>314001</v>
      </c>
    </row>
    <row r="87" spans="10:19" x14ac:dyDescent="0.25">
      <c r="J87">
        <v>25</v>
      </c>
      <c r="K87" t="s">
        <v>560</v>
      </c>
      <c r="L87" t="s">
        <v>842</v>
      </c>
      <c r="M87" t="s">
        <v>142</v>
      </c>
      <c r="N87">
        <v>314009</v>
      </c>
      <c r="Q87">
        <v>25</v>
      </c>
      <c r="R87" t="s">
        <v>842</v>
      </c>
      <c r="S87">
        <v>314009</v>
      </c>
    </row>
    <row r="88" spans="10:19" x14ac:dyDescent="0.25">
      <c r="J88">
        <v>25</v>
      </c>
      <c r="K88" t="s">
        <v>560</v>
      </c>
      <c r="L88" t="s">
        <v>586</v>
      </c>
      <c r="M88" t="s">
        <v>157</v>
      </c>
      <c r="N88">
        <v>314113</v>
      </c>
      <c r="Q88">
        <v>25</v>
      </c>
      <c r="R88" t="s">
        <v>586</v>
      </c>
      <c r="S88">
        <v>314113</v>
      </c>
    </row>
    <row r="89" spans="10:19" x14ac:dyDescent="0.25">
      <c r="J89">
        <v>25</v>
      </c>
      <c r="K89" t="s">
        <v>560</v>
      </c>
      <c r="L89" t="s">
        <v>921</v>
      </c>
      <c r="M89" t="s">
        <v>121</v>
      </c>
      <c r="N89">
        <v>314001</v>
      </c>
      <c r="Q89">
        <v>25</v>
      </c>
      <c r="R89" t="s">
        <v>921</v>
      </c>
      <c r="S89">
        <v>314001</v>
      </c>
    </row>
    <row r="90" spans="10:19" x14ac:dyDescent="0.25">
      <c r="J90">
        <v>25</v>
      </c>
      <c r="K90" t="s">
        <v>560</v>
      </c>
      <c r="L90" t="s">
        <v>937</v>
      </c>
      <c r="M90" t="s">
        <v>142</v>
      </c>
      <c r="N90">
        <v>314009</v>
      </c>
      <c r="Q90">
        <v>25</v>
      </c>
      <c r="R90" t="s">
        <v>937</v>
      </c>
      <c r="S90">
        <v>314009</v>
      </c>
    </row>
    <row r="91" spans="10:19" x14ac:dyDescent="0.25">
      <c r="J91">
        <v>25</v>
      </c>
      <c r="K91" t="s">
        <v>560</v>
      </c>
      <c r="L91" t="s">
        <v>834</v>
      </c>
      <c r="M91" t="s">
        <v>121</v>
      </c>
      <c r="N91">
        <v>314001</v>
      </c>
      <c r="Q91">
        <v>25</v>
      </c>
      <c r="R91" t="s">
        <v>834</v>
      </c>
      <c r="S91">
        <v>314001</v>
      </c>
    </row>
    <row r="92" spans="10:19" x14ac:dyDescent="0.25">
      <c r="J92">
        <v>25</v>
      </c>
      <c r="K92" t="s">
        <v>560</v>
      </c>
      <c r="L92" t="s">
        <v>668</v>
      </c>
      <c r="M92" t="s">
        <v>123</v>
      </c>
      <c r="N92">
        <v>314002</v>
      </c>
      <c r="Q92">
        <v>25</v>
      </c>
      <c r="R92" t="s">
        <v>668</v>
      </c>
      <c r="S92">
        <v>314002</v>
      </c>
    </row>
    <row r="93" spans="10:19" x14ac:dyDescent="0.25">
      <c r="J93">
        <v>26</v>
      </c>
      <c r="K93" t="s">
        <v>683</v>
      </c>
      <c r="L93" t="s">
        <v>684</v>
      </c>
      <c r="M93" t="s">
        <v>123</v>
      </c>
      <c r="N93">
        <v>314002</v>
      </c>
      <c r="Q93">
        <v>26</v>
      </c>
      <c r="R93" t="s">
        <v>684</v>
      </c>
      <c r="S93">
        <v>314002</v>
      </c>
    </row>
    <row r="94" spans="10:19" x14ac:dyDescent="0.25">
      <c r="J94">
        <v>26</v>
      </c>
      <c r="K94" t="s">
        <v>683</v>
      </c>
      <c r="L94" t="s">
        <v>430</v>
      </c>
      <c r="M94" t="s">
        <v>123</v>
      </c>
      <c r="N94">
        <v>314002</v>
      </c>
      <c r="Q94">
        <v>26</v>
      </c>
      <c r="R94" t="s">
        <v>430</v>
      </c>
      <c r="S94">
        <v>314002</v>
      </c>
    </row>
    <row r="95" spans="10:19" x14ac:dyDescent="0.25">
      <c r="J95">
        <v>27</v>
      </c>
      <c r="K95" t="s">
        <v>504</v>
      </c>
      <c r="L95" t="s">
        <v>498</v>
      </c>
      <c r="M95" t="s">
        <v>148</v>
      </c>
      <c r="N95">
        <v>314050</v>
      </c>
      <c r="Q95">
        <v>27</v>
      </c>
      <c r="R95" t="s">
        <v>498</v>
      </c>
      <c r="S95">
        <v>314050</v>
      </c>
    </row>
    <row r="96" spans="10:19" x14ac:dyDescent="0.25">
      <c r="J96">
        <v>27</v>
      </c>
      <c r="K96" t="s">
        <v>504</v>
      </c>
      <c r="L96" t="s">
        <v>506</v>
      </c>
      <c r="M96" t="s">
        <v>148</v>
      </c>
      <c r="N96">
        <v>314050</v>
      </c>
      <c r="Q96">
        <v>27</v>
      </c>
      <c r="R96" t="s">
        <v>506</v>
      </c>
      <c r="S96">
        <v>314050</v>
      </c>
    </row>
    <row r="97" spans="10:19" x14ac:dyDescent="0.25">
      <c r="J97">
        <v>27</v>
      </c>
      <c r="K97" t="s">
        <v>504</v>
      </c>
      <c r="L97" t="s">
        <v>508</v>
      </c>
      <c r="M97" t="s">
        <v>148</v>
      </c>
      <c r="N97">
        <v>314050</v>
      </c>
      <c r="Q97">
        <v>27</v>
      </c>
      <c r="R97" t="s">
        <v>508</v>
      </c>
      <c r="S97">
        <v>314050</v>
      </c>
    </row>
    <row r="98" spans="10:19" x14ac:dyDescent="0.25">
      <c r="J98">
        <v>27</v>
      </c>
      <c r="K98" t="s">
        <v>504</v>
      </c>
      <c r="L98" t="s">
        <v>688</v>
      </c>
      <c r="M98" t="s">
        <v>148</v>
      </c>
      <c r="N98">
        <v>314050</v>
      </c>
      <c r="Q98">
        <v>27</v>
      </c>
      <c r="R98" t="s">
        <v>688</v>
      </c>
      <c r="S98">
        <v>314050</v>
      </c>
    </row>
    <row r="99" spans="10:19" x14ac:dyDescent="0.25">
      <c r="J99">
        <v>27</v>
      </c>
      <c r="K99" t="s">
        <v>504</v>
      </c>
      <c r="L99" t="s">
        <v>971</v>
      </c>
      <c r="M99" t="s">
        <v>148</v>
      </c>
      <c r="N99">
        <v>314050</v>
      </c>
      <c r="Q99">
        <v>27</v>
      </c>
      <c r="R99" t="s">
        <v>971</v>
      </c>
      <c r="S99">
        <v>314050</v>
      </c>
    </row>
    <row r="100" spans="10:19" x14ac:dyDescent="0.25">
      <c r="J100">
        <v>27</v>
      </c>
      <c r="K100" t="s">
        <v>504</v>
      </c>
      <c r="L100" t="s">
        <v>508</v>
      </c>
      <c r="M100" t="s">
        <v>121</v>
      </c>
      <c r="N100">
        <v>314001</v>
      </c>
      <c r="Q100">
        <v>27</v>
      </c>
      <c r="R100" t="s">
        <v>508</v>
      </c>
      <c r="S100">
        <v>314001</v>
      </c>
    </row>
    <row r="101" spans="10:19" x14ac:dyDescent="0.25">
      <c r="J101">
        <v>28</v>
      </c>
      <c r="K101" t="s">
        <v>680</v>
      </c>
      <c r="L101" t="s">
        <v>681</v>
      </c>
      <c r="M101" t="s">
        <v>151</v>
      </c>
      <c r="N101">
        <v>314083</v>
      </c>
      <c r="Q101">
        <v>28</v>
      </c>
      <c r="R101" t="s">
        <v>681</v>
      </c>
      <c r="S101">
        <v>314083</v>
      </c>
    </row>
    <row r="102" spans="10:19" x14ac:dyDescent="0.25">
      <c r="J102">
        <v>29</v>
      </c>
      <c r="K102" t="s">
        <v>690</v>
      </c>
      <c r="L102" t="s">
        <v>691</v>
      </c>
      <c r="M102" t="s">
        <v>121</v>
      </c>
      <c r="N102">
        <v>314001</v>
      </c>
      <c r="Q102">
        <v>29</v>
      </c>
      <c r="R102" t="s">
        <v>691</v>
      </c>
      <c r="S102">
        <v>314001</v>
      </c>
    </row>
    <row r="103" spans="10:19" x14ac:dyDescent="0.25">
      <c r="J103">
        <v>29</v>
      </c>
      <c r="K103" t="s">
        <v>690</v>
      </c>
      <c r="L103" t="s">
        <v>691</v>
      </c>
      <c r="M103" t="s">
        <v>1187</v>
      </c>
      <c r="N103">
        <v>314001</v>
      </c>
      <c r="Q103">
        <v>29</v>
      </c>
      <c r="R103" t="s">
        <v>691</v>
      </c>
      <c r="S103">
        <v>314001</v>
      </c>
    </row>
    <row r="104" spans="10:19" x14ac:dyDescent="0.25">
      <c r="J104">
        <v>30</v>
      </c>
      <c r="K104" t="s">
        <v>497</v>
      </c>
      <c r="L104" t="s">
        <v>498</v>
      </c>
      <c r="M104" t="s">
        <v>148</v>
      </c>
      <c r="N104">
        <v>314050</v>
      </c>
      <c r="Q104">
        <v>30</v>
      </c>
      <c r="R104" t="s">
        <v>498</v>
      </c>
      <c r="S104">
        <v>314050</v>
      </c>
    </row>
    <row r="105" spans="10:19" x14ac:dyDescent="0.25">
      <c r="J105">
        <v>31</v>
      </c>
      <c r="K105" t="s">
        <v>698</v>
      </c>
      <c r="L105" t="s">
        <v>699</v>
      </c>
      <c r="M105" t="s">
        <v>157</v>
      </c>
      <c r="N105">
        <v>314113</v>
      </c>
      <c r="Q105">
        <v>31</v>
      </c>
      <c r="R105" t="s">
        <v>699</v>
      </c>
      <c r="S105">
        <v>314113</v>
      </c>
    </row>
    <row r="106" spans="10:19" x14ac:dyDescent="0.25">
      <c r="J106">
        <v>31</v>
      </c>
      <c r="K106" t="s">
        <v>698</v>
      </c>
      <c r="L106" t="s">
        <v>746</v>
      </c>
      <c r="M106" t="s">
        <v>157</v>
      </c>
      <c r="N106">
        <v>314113</v>
      </c>
      <c r="Q106">
        <v>31</v>
      </c>
      <c r="R106" t="s">
        <v>746</v>
      </c>
      <c r="S106">
        <v>314113</v>
      </c>
    </row>
    <row r="107" spans="10:19" x14ac:dyDescent="0.25">
      <c r="J107">
        <v>32</v>
      </c>
      <c r="K107" t="s">
        <v>701</v>
      </c>
      <c r="L107" t="s">
        <v>702</v>
      </c>
      <c r="M107" t="s">
        <v>118</v>
      </c>
      <c r="N107">
        <v>313001</v>
      </c>
      <c r="Q107">
        <v>32</v>
      </c>
      <c r="R107" t="s">
        <v>702</v>
      </c>
      <c r="S107">
        <v>313001</v>
      </c>
    </row>
    <row r="108" spans="10:19" x14ac:dyDescent="0.25">
      <c r="J108">
        <v>32</v>
      </c>
      <c r="K108" t="s">
        <v>707</v>
      </c>
      <c r="L108" t="s">
        <v>521</v>
      </c>
      <c r="M108" t="s">
        <v>118</v>
      </c>
      <c r="N108">
        <v>313001</v>
      </c>
      <c r="Q108">
        <v>32</v>
      </c>
      <c r="R108" t="s">
        <v>521</v>
      </c>
      <c r="S108">
        <v>313001</v>
      </c>
    </row>
    <row r="109" spans="10:19" x14ac:dyDescent="0.25">
      <c r="J109">
        <v>32</v>
      </c>
      <c r="K109" t="s">
        <v>701</v>
      </c>
      <c r="L109" t="s">
        <v>743</v>
      </c>
      <c r="M109" t="s">
        <v>118</v>
      </c>
      <c r="N109">
        <v>313001</v>
      </c>
      <c r="Q109">
        <v>32</v>
      </c>
      <c r="R109" t="s">
        <v>743</v>
      </c>
      <c r="S109">
        <v>313001</v>
      </c>
    </row>
    <row r="110" spans="10:19" x14ac:dyDescent="0.25">
      <c r="J110">
        <v>32</v>
      </c>
      <c r="K110" t="s">
        <v>701</v>
      </c>
      <c r="L110" t="s">
        <v>701</v>
      </c>
      <c r="M110" t="s">
        <v>118</v>
      </c>
      <c r="N110">
        <v>313001</v>
      </c>
      <c r="Q110">
        <v>32</v>
      </c>
      <c r="R110" t="s">
        <v>701</v>
      </c>
      <c r="S110">
        <v>313001</v>
      </c>
    </row>
    <row r="111" spans="10:19" x14ac:dyDescent="0.25">
      <c r="J111">
        <v>33</v>
      </c>
      <c r="K111" t="s">
        <v>1060</v>
      </c>
      <c r="L111" t="s">
        <v>1061</v>
      </c>
      <c r="M111" t="s">
        <v>148</v>
      </c>
      <c r="N111">
        <v>314050</v>
      </c>
      <c r="Q111">
        <v>33</v>
      </c>
      <c r="R111" t="s">
        <v>1061</v>
      </c>
      <c r="S111">
        <v>314050</v>
      </c>
    </row>
    <row r="112" spans="10:19" x14ac:dyDescent="0.25">
      <c r="J112">
        <v>34</v>
      </c>
      <c r="K112" t="s">
        <v>716</v>
      </c>
      <c r="L112" t="s">
        <v>717</v>
      </c>
      <c r="M112" t="s">
        <v>123</v>
      </c>
      <c r="N112">
        <v>314002</v>
      </c>
      <c r="Q112">
        <v>34</v>
      </c>
      <c r="R112" t="s">
        <v>717</v>
      </c>
      <c r="S112">
        <v>314002</v>
      </c>
    </row>
    <row r="113" spans="10:19" x14ac:dyDescent="0.25">
      <c r="J113">
        <v>34</v>
      </c>
      <c r="K113" t="s">
        <v>716</v>
      </c>
      <c r="L113" t="s">
        <v>724</v>
      </c>
      <c r="M113" t="s">
        <v>123</v>
      </c>
      <c r="N113">
        <v>314002</v>
      </c>
      <c r="Q113">
        <v>34</v>
      </c>
      <c r="R113" t="s">
        <v>724</v>
      </c>
      <c r="S113">
        <v>314002</v>
      </c>
    </row>
    <row r="114" spans="10:19" x14ac:dyDescent="0.25">
      <c r="J114">
        <v>34</v>
      </c>
      <c r="K114" t="s">
        <v>716</v>
      </c>
      <c r="L114" t="s">
        <v>729</v>
      </c>
      <c r="M114" t="s">
        <v>123</v>
      </c>
      <c r="N114">
        <v>314002</v>
      </c>
      <c r="Q114">
        <v>34</v>
      </c>
      <c r="R114" t="s">
        <v>729</v>
      </c>
      <c r="S114">
        <v>314002</v>
      </c>
    </row>
    <row r="115" spans="10:19" x14ac:dyDescent="0.25">
      <c r="J115">
        <v>34</v>
      </c>
      <c r="K115" t="s">
        <v>716</v>
      </c>
      <c r="L115" t="s">
        <v>733</v>
      </c>
      <c r="M115" t="s">
        <v>123</v>
      </c>
      <c r="N115">
        <v>314002</v>
      </c>
      <c r="Q115">
        <v>34</v>
      </c>
      <c r="R115" t="s">
        <v>733</v>
      </c>
      <c r="S115">
        <v>314002</v>
      </c>
    </row>
    <row r="116" spans="10:19" x14ac:dyDescent="0.25">
      <c r="J116">
        <v>34</v>
      </c>
      <c r="K116" t="s">
        <v>716</v>
      </c>
      <c r="L116" t="s">
        <v>735</v>
      </c>
      <c r="M116" t="s">
        <v>123</v>
      </c>
      <c r="N116">
        <v>314002</v>
      </c>
      <c r="Q116">
        <v>34</v>
      </c>
      <c r="R116" t="s">
        <v>735</v>
      </c>
      <c r="S116">
        <v>314002</v>
      </c>
    </row>
    <row r="117" spans="10:19" x14ac:dyDescent="0.25">
      <c r="J117">
        <v>34</v>
      </c>
      <c r="K117" t="s">
        <v>716</v>
      </c>
      <c r="L117" t="s">
        <v>738</v>
      </c>
      <c r="M117" t="s">
        <v>123</v>
      </c>
      <c r="N117">
        <v>314002</v>
      </c>
      <c r="Q117">
        <v>34</v>
      </c>
      <c r="R117" t="s">
        <v>738</v>
      </c>
      <c r="S117">
        <v>314002</v>
      </c>
    </row>
    <row r="118" spans="10:19" x14ac:dyDescent="0.25">
      <c r="J118">
        <v>35</v>
      </c>
      <c r="K118" t="s">
        <v>741</v>
      </c>
      <c r="L118" t="s">
        <v>741</v>
      </c>
      <c r="M118" t="s">
        <v>118</v>
      </c>
      <c r="N118">
        <v>313001</v>
      </c>
      <c r="Q118">
        <v>35</v>
      </c>
      <c r="R118" t="s">
        <v>741</v>
      </c>
      <c r="S118">
        <v>313001</v>
      </c>
    </row>
    <row r="119" spans="10:19" x14ac:dyDescent="0.25">
      <c r="J119">
        <v>35</v>
      </c>
      <c r="K119" t="s">
        <v>742</v>
      </c>
      <c r="L119" t="s">
        <v>743</v>
      </c>
      <c r="M119" t="s">
        <v>118</v>
      </c>
      <c r="N119">
        <v>313001</v>
      </c>
      <c r="Q119">
        <v>35</v>
      </c>
      <c r="R119" t="s">
        <v>743</v>
      </c>
      <c r="S119">
        <v>313001</v>
      </c>
    </row>
    <row r="120" spans="10:19" x14ac:dyDescent="0.25">
      <c r="J120">
        <v>36</v>
      </c>
      <c r="K120" t="s">
        <v>647</v>
      </c>
      <c r="L120" t="s">
        <v>648</v>
      </c>
      <c r="M120" t="s">
        <v>142</v>
      </c>
      <c r="N120">
        <v>314009</v>
      </c>
      <c r="Q120">
        <v>36</v>
      </c>
      <c r="R120" t="s">
        <v>648</v>
      </c>
      <c r="S120">
        <v>314009</v>
      </c>
    </row>
    <row r="121" spans="10:19" x14ac:dyDescent="0.25">
      <c r="J121">
        <v>37</v>
      </c>
      <c r="K121" t="s">
        <v>744</v>
      </c>
      <c r="L121" t="s">
        <v>744</v>
      </c>
      <c r="M121" t="s">
        <v>118</v>
      </c>
      <c r="N121">
        <v>313001</v>
      </c>
      <c r="Q121">
        <v>37</v>
      </c>
      <c r="R121" t="s">
        <v>744</v>
      </c>
      <c r="S121">
        <v>313001</v>
      </c>
    </row>
    <row r="122" spans="10:19" x14ac:dyDescent="0.25">
      <c r="J122">
        <v>37</v>
      </c>
      <c r="K122" t="s">
        <v>744</v>
      </c>
      <c r="L122" t="s">
        <v>743</v>
      </c>
      <c r="M122" t="s">
        <v>118</v>
      </c>
      <c r="N122">
        <v>313001</v>
      </c>
      <c r="Q122">
        <v>37</v>
      </c>
      <c r="R122" t="s">
        <v>743</v>
      </c>
      <c r="S122">
        <v>313001</v>
      </c>
    </row>
    <row r="123" spans="10:19" x14ac:dyDescent="0.25">
      <c r="J123">
        <v>38</v>
      </c>
      <c r="K123" t="s">
        <v>745</v>
      </c>
      <c r="L123" t="s">
        <v>746</v>
      </c>
      <c r="M123" t="s">
        <v>157</v>
      </c>
      <c r="N123">
        <v>314113</v>
      </c>
      <c r="Q123">
        <v>38</v>
      </c>
      <c r="R123" t="s">
        <v>746</v>
      </c>
      <c r="S123">
        <v>314113</v>
      </c>
    </row>
    <row r="124" spans="10:19" x14ac:dyDescent="0.25">
      <c r="J124">
        <v>38</v>
      </c>
      <c r="K124" t="s">
        <v>745</v>
      </c>
      <c r="L124" t="s">
        <v>746</v>
      </c>
      <c r="M124" t="s">
        <v>154</v>
      </c>
      <c r="N124">
        <v>314112</v>
      </c>
      <c r="Q124">
        <v>38</v>
      </c>
      <c r="R124" t="s">
        <v>746</v>
      </c>
      <c r="S124">
        <v>314112</v>
      </c>
    </row>
    <row r="125" spans="10:19" x14ac:dyDescent="0.25">
      <c r="J125">
        <v>39</v>
      </c>
      <c r="K125" t="s">
        <v>753</v>
      </c>
      <c r="L125" t="s">
        <v>681</v>
      </c>
      <c r="M125" t="s">
        <v>151</v>
      </c>
      <c r="N125">
        <v>314083</v>
      </c>
      <c r="Q125">
        <v>39</v>
      </c>
      <c r="R125" t="s">
        <v>681</v>
      </c>
      <c r="S125">
        <v>314083</v>
      </c>
    </row>
    <row r="126" spans="10:19" x14ac:dyDescent="0.25">
      <c r="J126">
        <v>40</v>
      </c>
      <c r="K126" t="s">
        <v>501</v>
      </c>
      <c r="L126" t="s">
        <v>502</v>
      </c>
      <c r="M126" t="s">
        <v>148</v>
      </c>
      <c r="N126">
        <v>314050</v>
      </c>
      <c r="Q126">
        <v>40</v>
      </c>
      <c r="R126" t="s">
        <v>502</v>
      </c>
      <c r="S126">
        <v>314050</v>
      </c>
    </row>
    <row r="127" spans="10:19" x14ac:dyDescent="0.25">
      <c r="J127">
        <v>41</v>
      </c>
      <c r="K127" t="s">
        <v>906</v>
      </c>
      <c r="L127" t="s">
        <v>699</v>
      </c>
      <c r="M127" t="s">
        <v>154</v>
      </c>
      <c r="N127">
        <v>314112</v>
      </c>
      <c r="Q127">
        <v>41</v>
      </c>
      <c r="R127" t="s">
        <v>699</v>
      </c>
      <c r="S127">
        <v>314112</v>
      </c>
    </row>
    <row r="128" spans="10:19" x14ac:dyDescent="0.25">
      <c r="J128">
        <v>41</v>
      </c>
      <c r="K128" t="s">
        <v>906</v>
      </c>
      <c r="L128" t="s">
        <v>699</v>
      </c>
      <c r="M128" t="s">
        <v>157</v>
      </c>
      <c r="N128">
        <v>314113</v>
      </c>
      <c r="Q128">
        <v>41</v>
      </c>
      <c r="R128" t="s">
        <v>699</v>
      </c>
      <c r="S128">
        <v>314113</v>
      </c>
    </row>
    <row r="129" spans="10:19" x14ac:dyDescent="0.25">
      <c r="J129">
        <v>42</v>
      </c>
      <c r="K129" t="s">
        <v>1064</v>
      </c>
      <c r="L129" t="s">
        <v>506</v>
      </c>
      <c r="M129" t="s">
        <v>148</v>
      </c>
      <c r="N129">
        <v>314050</v>
      </c>
      <c r="Q129">
        <v>42</v>
      </c>
      <c r="R129" t="s">
        <v>506</v>
      </c>
      <c r="S129">
        <v>314050</v>
      </c>
    </row>
    <row r="130" spans="10:19" x14ac:dyDescent="0.25">
      <c r="J130">
        <v>43</v>
      </c>
      <c r="K130" t="s">
        <v>695</v>
      </c>
      <c r="L130" t="s">
        <v>696</v>
      </c>
      <c r="M130" t="s">
        <v>148</v>
      </c>
      <c r="N130">
        <v>314050</v>
      </c>
      <c r="Q130">
        <v>43</v>
      </c>
      <c r="R130" t="s">
        <v>696</v>
      </c>
      <c r="S130">
        <v>314050</v>
      </c>
    </row>
    <row r="131" spans="10:19" x14ac:dyDescent="0.25">
      <c r="J131">
        <v>43</v>
      </c>
      <c r="K131" t="s">
        <v>695</v>
      </c>
      <c r="L131" t="s">
        <v>695</v>
      </c>
      <c r="M131" t="s">
        <v>118</v>
      </c>
      <c r="N131">
        <v>313001</v>
      </c>
      <c r="Q131">
        <v>43</v>
      </c>
      <c r="R131" t="s">
        <v>695</v>
      </c>
      <c r="S131">
        <v>313001</v>
      </c>
    </row>
    <row r="132" spans="10:19" x14ac:dyDescent="0.25">
      <c r="J132">
        <v>43</v>
      </c>
      <c r="K132" t="s">
        <v>695</v>
      </c>
      <c r="L132" t="s">
        <v>743</v>
      </c>
      <c r="M132" t="s">
        <v>118</v>
      </c>
      <c r="N132">
        <v>313001</v>
      </c>
      <c r="Q132">
        <v>43</v>
      </c>
      <c r="R132" t="s">
        <v>743</v>
      </c>
      <c r="S132">
        <v>313001</v>
      </c>
    </row>
    <row r="133" spans="10:19" x14ac:dyDescent="0.25">
      <c r="J133">
        <v>44</v>
      </c>
      <c r="K133" t="s">
        <v>637</v>
      </c>
      <c r="L133" t="s">
        <v>638</v>
      </c>
      <c r="M133" t="s">
        <v>142</v>
      </c>
      <c r="N133">
        <v>314009</v>
      </c>
      <c r="Q133">
        <v>44</v>
      </c>
      <c r="R133" t="s">
        <v>638</v>
      </c>
      <c r="S133">
        <v>314009</v>
      </c>
    </row>
    <row r="134" spans="10:19" x14ac:dyDescent="0.25">
      <c r="J134">
        <v>45</v>
      </c>
      <c r="K134" t="s">
        <v>759</v>
      </c>
      <c r="L134" t="s">
        <v>760</v>
      </c>
      <c r="M134" t="s">
        <v>154</v>
      </c>
      <c r="N134">
        <v>314112</v>
      </c>
      <c r="Q134">
        <v>45</v>
      </c>
      <c r="R134" t="s">
        <v>760</v>
      </c>
      <c r="S134">
        <v>314112</v>
      </c>
    </row>
    <row r="135" spans="10:19" x14ac:dyDescent="0.25">
      <c r="J135">
        <v>45</v>
      </c>
      <c r="K135" t="s">
        <v>759</v>
      </c>
      <c r="L135" t="s">
        <v>699</v>
      </c>
      <c r="M135" t="s">
        <v>154</v>
      </c>
      <c r="N135">
        <v>314112</v>
      </c>
      <c r="Q135">
        <v>45</v>
      </c>
      <c r="R135" t="s">
        <v>699</v>
      </c>
      <c r="S135">
        <v>314112</v>
      </c>
    </row>
    <row r="136" spans="10:19" x14ac:dyDescent="0.25">
      <c r="J136">
        <v>45</v>
      </c>
      <c r="K136" t="s">
        <v>759</v>
      </c>
      <c r="L136" t="s">
        <v>766</v>
      </c>
      <c r="M136" t="s">
        <v>154</v>
      </c>
      <c r="N136">
        <v>314112</v>
      </c>
      <c r="Q136">
        <v>45</v>
      </c>
      <c r="R136" t="s">
        <v>766</v>
      </c>
      <c r="S136">
        <v>314112</v>
      </c>
    </row>
    <row r="137" spans="10:19" x14ac:dyDescent="0.25">
      <c r="J137">
        <v>45</v>
      </c>
      <c r="K137" t="s">
        <v>759</v>
      </c>
      <c r="L137" t="s">
        <v>760</v>
      </c>
      <c r="M137" t="s">
        <v>160</v>
      </c>
      <c r="N137">
        <v>314116</v>
      </c>
      <c r="Q137">
        <v>45</v>
      </c>
      <c r="R137" t="s">
        <v>760</v>
      </c>
      <c r="S137">
        <v>314116</v>
      </c>
    </row>
    <row r="138" spans="10:19" x14ac:dyDescent="0.25">
      <c r="J138">
        <v>46</v>
      </c>
      <c r="K138" t="s">
        <v>530</v>
      </c>
      <c r="L138" t="s">
        <v>531</v>
      </c>
      <c r="M138" t="s">
        <v>118</v>
      </c>
      <c r="N138">
        <v>313001</v>
      </c>
      <c r="Q138">
        <v>46</v>
      </c>
      <c r="R138" t="s">
        <v>531</v>
      </c>
      <c r="S138">
        <v>313001</v>
      </c>
    </row>
    <row r="139" spans="10:19" x14ac:dyDescent="0.25">
      <c r="J139">
        <v>46</v>
      </c>
      <c r="K139" t="s">
        <v>530</v>
      </c>
      <c r="L139" t="s">
        <v>925</v>
      </c>
      <c r="M139" t="s">
        <v>118</v>
      </c>
      <c r="N139">
        <v>313001</v>
      </c>
      <c r="Q139">
        <v>46</v>
      </c>
      <c r="R139" t="s">
        <v>925</v>
      </c>
      <c r="S139">
        <v>313001</v>
      </c>
    </row>
    <row r="140" spans="10:19" x14ac:dyDescent="0.25">
      <c r="J140">
        <v>46</v>
      </c>
      <c r="K140" t="s">
        <v>530</v>
      </c>
      <c r="L140" t="s">
        <v>888</v>
      </c>
      <c r="M140" t="s">
        <v>118</v>
      </c>
      <c r="N140">
        <v>313001</v>
      </c>
      <c r="Q140">
        <v>46</v>
      </c>
      <c r="R140" t="s">
        <v>888</v>
      </c>
      <c r="S140">
        <v>313001</v>
      </c>
    </row>
    <row r="141" spans="10:19" x14ac:dyDescent="0.25">
      <c r="J141">
        <v>47</v>
      </c>
      <c r="K141" t="s">
        <v>773</v>
      </c>
      <c r="L141" t="s">
        <v>774</v>
      </c>
      <c r="M141" t="s">
        <v>121</v>
      </c>
      <c r="N141">
        <v>314001</v>
      </c>
      <c r="Q141">
        <v>47</v>
      </c>
      <c r="R141" t="s">
        <v>774</v>
      </c>
      <c r="S141">
        <v>314001</v>
      </c>
    </row>
    <row r="142" spans="10:19" x14ac:dyDescent="0.25">
      <c r="J142">
        <v>47</v>
      </c>
      <c r="K142" t="s">
        <v>773</v>
      </c>
      <c r="L142" t="s">
        <v>774</v>
      </c>
      <c r="M142" t="s">
        <v>1187</v>
      </c>
      <c r="N142">
        <v>314001</v>
      </c>
      <c r="Q142">
        <v>47</v>
      </c>
      <c r="R142" t="s">
        <v>774</v>
      </c>
      <c r="S142">
        <v>314001</v>
      </c>
    </row>
    <row r="143" spans="10:19" x14ac:dyDescent="0.25">
      <c r="J143">
        <v>48</v>
      </c>
      <c r="K143" t="s">
        <v>776</v>
      </c>
      <c r="L143" t="s">
        <v>777</v>
      </c>
      <c r="M143" t="s">
        <v>157</v>
      </c>
      <c r="N143">
        <v>314113</v>
      </c>
      <c r="Q143">
        <v>48</v>
      </c>
      <c r="R143" t="s">
        <v>777</v>
      </c>
      <c r="S143">
        <v>314113</v>
      </c>
    </row>
    <row r="144" spans="10:19" x14ac:dyDescent="0.25">
      <c r="J144">
        <v>48</v>
      </c>
      <c r="K144" t="s">
        <v>776</v>
      </c>
      <c r="L144" t="s">
        <v>780</v>
      </c>
      <c r="M144" t="s">
        <v>157</v>
      </c>
      <c r="N144">
        <v>314113</v>
      </c>
      <c r="Q144">
        <v>48</v>
      </c>
      <c r="R144" t="s">
        <v>780</v>
      </c>
      <c r="S144">
        <v>314113</v>
      </c>
    </row>
    <row r="145" spans="10:19" x14ac:dyDescent="0.25">
      <c r="J145">
        <v>48</v>
      </c>
      <c r="K145" t="s">
        <v>776</v>
      </c>
      <c r="L145" t="s">
        <v>789</v>
      </c>
      <c r="M145" t="s">
        <v>157</v>
      </c>
      <c r="N145">
        <v>314113</v>
      </c>
      <c r="Q145">
        <v>48</v>
      </c>
      <c r="R145" t="s">
        <v>789</v>
      </c>
      <c r="S145">
        <v>314113</v>
      </c>
    </row>
    <row r="146" spans="10:19" x14ac:dyDescent="0.25">
      <c r="J146">
        <v>48</v>
      </c>
      <c r="K146" t="s">
        <v>776</v>
      </c>
      <c r="L146" t="s">
        <v>796</v>
      </c>
      <c r="M146" t="s">
        <v>157</v>
      </c>
      <c r="N146">
        <v>314113</v>
      </c>
      <c r="Q146">
        <v>48</v>
      </c>
      <c r="R146" t="s">
        <v>796</v>
      </c>
      <c r="S146">
        <v>314113</v>
      </c>
    </row>
    <row r="147" spans="10:19" x14ac:dyDescent="0.25">
      <c r="J147">
        <v>48</v>
      </c>
      <c r="K147" t="s">
        <v>776</v>
      </c>
      <c r="L147" t="s">
        <v>797</v>
      </c>
      <c r="M147" t="s">
        <v>157</v>
      </c>
      <c r="N147">
        <v>314113</v>
      </c>
      <c r="Q147">
        <v>48</v>
      </c>
      <c r="R147" t="s">
        <v>797</v>
      </c>
      <c r="S147">
        <v>314113</v>
      </c>
    </row>
    <row r="148" spans="10:19" x14ac:dyDescent="0.25">
      <c r="J148">
        <v>48</v>
      </c>
      <c r="K148" t="s">
        <v>776</v>
      </c>
      <c r="L148" t="s">
        <v>801</v>
      </c>
      <c r="M148" t="s">
        <v>157</v>
      </c>
      <c r="N148">
        <v>314113</v>
      </c>
      <c r="Q148">
        <v>48</v>
      </c>
      <c r="R148" t="s">
        <v>801</v>
      </c>
      <c r="S148">
        <v>314113</v>
      </c>
    </row>
    <row r="149" spans="10:19" x14ac:dyDescent="0.25">
      <c r="J149">
        <v>48</v>
      </c>
      <c r="K149" t="s">
        <v>776</v>
      </c>
      <c r="L149" t="s">
        <v>805</v>
      </c>
      <c r="M149" t="s">
        <v>157</v>
      </c>
      <c r="N149">
        <v>314113</v>
      </c>
      <c r="Q149">
        <v>48</v>
      </c>
      <c r="R149" t="s">
        <v>805</v>
      </c>
      <c r="S149">
        <v>314113</v>
      </c>
    </row>
    <row r="150" spans="10:19" x14ac:dyDescent="0.25">
      <c r="J150">
        <v>48</v>
      </c>
      <c r="K150" t="s">
        <v>776</v>
      </c>
      <c r="L150" t="s">
        <v>743</v>
      </c>
      <c r="M150" t="s">
        <v>157</v>
      </c>
      <c r="N150">
        <v>314113</v>
      </c>
      <c r="Q150">
        <v>48</v>
      </c>
      <c r="R150" t="s">
        <v>743</v>
      </c>
      <c r="S150">
        <v>314113</v>
      </c>
    </row>
    <row r="151" spans="10:19" x14ac:dyDescent="0.25">
      <c r="J151">
        <v>48</v>
      </c>
      <c r="K151" t="s">
        <v>776</v>
      </c>
      <c r="L151" t="s">
        <v>825</v>
      </c>
      <c r="M151" t="s">
        <v>157</v>
      </c>
      <c r="N151">
        <v>314113</v>
      </c>
      <c r="Q151">
        <v>48</v>
      </c>
      <c r="R151" t="s">
        <v>825</v>
      </c>
      <c r="S151">
        <v>314113</v>
      </c>
    </row>
    <row r="152" spans="10:19" x14ac:dyDescent="0.25">
      <c r="J152">
        <v>48</v>
      </c>
      <c r="K152" t="s">
        <v>776</v>
      </c>
      <c r="L152" t="s">
        <v>508</v>
      </c>
      <c r="M152" t="s">
        <v>148</v>
      </c>
      <c r="N152">
        <v>314050</v>
      </c>
      <c r="Q152">
        <v>48</v>
      </c>
      <c r="R152" t="s">
        <v>508</v>
      </c>
      <c r="S152">
        <v>314113</v>
      </c>
    </row>
    <row r="153" spans="10:19" x14ac:dyDescent="0.25">
      <c r="J153">
        <v>48</v>
      </c>
      <c r="K153" t="s">
        <v>776</v>
      </c>
      <c r="L153" t="s">
        <v>876</v>
      </c>
      <c r="M153" t="s">
        <v>157</v>
      </c>
      <c r="N153">
        <v>314113</v>
      </c>
      <c r="Q153">
        <v>48</v>
      </c>
      <c r="R153" t="s">
        <v>876</v>
      </c>
      <c r="S153">
        <v>314113</v>
      </c>
    </row>
    <row r="154" spans="10:19" x14ac:dyDescent="0.25">
      <c r="J154">
        <v>48</v>
      </c>
      <c r="K154" t="s">
        <v>776</v>
      </c>
      <c r="L154" t="s">
        <v>880</v>
      </c>
      <c r="M154" t="s">
        <v>157</v>
      </c>
      <c r="N154">
        <v>314113</v>
      </c>
      <c r="Q154">
        <v>48</v>
      </c>
      <c r="R154" t="s">
        <v>880</v>
      </c>
      <c r="S154">
        <v>314113</v>
      </c>
    </row>
    <row r="155" spans="10:19" x14ac:dyDescent="0.25">
      <c r="J155">
        <v>48</v>
      </c>
      <c r="K155" t="s">
        <v>776</v>
      </c>
      <c r="M155" t="s">
        <v>148</v>
      </c>
      <c r="N155">
        <v>314050</v>
      </c>
      <c r="Q155">
        <v>48</v>
      </c>
      <c r="R155" t="s">
        <v>903</v>
      </c>
      <c r="S155">
        <v>314113</v>
      </c>
    </row>
    <row r="156" spans="10:19" x14ac:dyDescent="0.25">
      <c r="J156">
        <v>48</v>
      </c>
      <c r="K156" t="s">
        <v>776</v>
      </c>
      <c r="L156" t="s">
        <v>903</v>
      </c>
      <c r="M156" t="s">
        <v>157</v>
      </c>
      <c r="N156">
        <v>314113</v>
      </c>
      <c r="Q156">
        <v>48</v>
      </c>
      <c r="R156" t="s">
        <v>743</v>
      </c>
      <c r="S156">
        <v>313001</v>
      </c>
    </row>
    <row r="157" spans="10:19" x14ac:dyDescent="0.25">
      <c r="J157">
        <v>48</v>
      </c>
      <c r="K157" t="s">
        <v>776</v>
      </c>
      <c r="M157" t="s">
        <v>157</v>
      </c>
      <c r="N157">
        <v>314113</v>
      </c>
      <c r="Q157">
        <v>48</v>
      </c>
      <c r="R157" t="s">
        <v>777</v>
      </c>
      <c r="S157">
        <v>314001</v>
      </c>
    </row>
    <row r="158" spans="10:19" x14ac:dyDescent="0.25">
      <c r="J158">
        <v>48</v>
      </c>
      <c r="K158" t="s">
        <v>776</v>
      </c>
      <c r="L158" t="s">
        <v>743</v>
      </c>
      <c r="M158" t="s">
        <v>118</v>
      </c>
      <c r="N158">
        <v>313001</v>
      </c>
      <c r="Q158">
        <v>48</v>
      </c>
      <c r="R158" t="s">
        <v>962</v>
      </c>
      <c r="S158">
        <v>314113</v>
      </c>
    </row>
    <row r="159" spans="10:19" x14ac:dyDescent="0.25">
      <c r="J159">
        <v>48</v>
      </c>
      <c r="K159" t="s">
        <v>776</v>
      </c>
      <c r="L159" t="s">
        <v>777</v>
      </c>
      <c r="M159" t="s">
        <v>121</v>
      </c>
      <c r="N159">
        <v>314001</v>
      </c>
      <c r="Q159">
        <v>48</v>
      </c>
      <c r="R159" t="s">
        <v>964</v>
      </c>
      <c r="S159">
        <v>314113</v>
      </c>
    </row>
    <row r="160" spans="10:19" x14ac:dyDescent="0.25">
      <c r="J160">
        <v>48</v>
      </c>
      <c r="K160" t="s">
        <v>776</v>
      </c>
      <c r="L160" t="s">
        <v>962</v>
      </c>
      <c r="M160" t="s">
        <v>157</v>
      </c>
      <c r="N160">
        <v>314113</v>
      </c>
      <c r="Q160">
        <v>48</v>
      </c>
      <c r="R160" t="s">
        <v>796</v>
      </c>
      <c r="S160">
        <v>313001</v>
      </c>
    </row>
    <row r="161" spans="10:19" x14ac:dyDescent="0.25">
      <c r="J161">
        <v>48</v>
      </c>
      <c r="K161" t="s">
        <v>776</v>
      </c>
      <c r="L161" t="s">
        <v>964</v>
      </c>
      <c r="M161" t="s">
        <v>157</v>
      </c>
      <c r="N161">
        <v>314113</v>
      </c>
      <c r="Q161">
        <v>48</v>
      </c>
      <c r="R161" t="s">
        <v>776</v>
      </c>
      <c r="S161">
        <v>314113</v>
      </c>
    </row>
    <row r="162" spans="10:19" x14ac:dyDescent="0.25">
      <c r="J162">
        <v>48</v>
      </c>
      <c r="K162" t="s">
        <v>776</v>
      </c>
      <c r="L162" t="s">
        <v>796</v>
      </c>
      <c r="M162" t="s">
        <v>118</v>
      </c>
      <c r="N162">
        <v>313001</v>
      </c>
      <c r="Q162">
        <v>48</v>
      </c>
      <c r="R162" t="s">
        <v>780</v>
      </c>
      <c r="S162">
        <v>314112</v>
      </c>
    </row>
    <row r="163" spans="10:19" x14ac:dyDescent="0.25">
      <c r="J163">
        <v>48</v>
      </c>
      <c r="K163" t="s">
        <v>776</v>
      </c>
      <c r="L163" t="s">
        <v>776</v>
      </c>
      <c r="M163" t="s">
        <v>157</v>
      </c>
      <c r="N163">
        <v>314113</v>
      </c>
      <c r="Q163">
        <v>48</v>
      </c>
      <c r="R163" t="s">
        <v>1044</v>
      </c>
      <c r="S163">
        <v>314113</v>
      </c>
    </row>
    <row r="164" spans="10:19" x14ac:dyDescent="0.25">
      <c r="J164">
        <v>48</v>
      </c>
      <c r="K164" t="s">
        <v>776</v>
      </c>
      <c r="L164" t="s">
        <v>780</v>
      </c>
      <c r="M164" t="s">
        <v>154</v>
      </c>
      <c r="N164">
        <v>314112</v>
      </c>
      <c r="Q164">
        <v>48</v>
      </c>
      <c r="R164" t="s">
        <v>1045</v>
      </c>
      <c r="S164">
        <v>314113</v>
      </c>
    </row>
    <row r="165" spans="10:19" x14ac:dyDescent="0.25">
      <c r="J165">
        <v>48</v>
      </c>
      <c r="K165" t="s">
        <v>776</v>
      </c>
      <c r="L165" t="s">
        <v>1044</v>
      </c>
      <c r="M165" t="s">
        <v>157</v>
      </c>
      <c r="N165">
        <v>314113</v>
      </c>
      <c r="Q165">
        <v>48</v>
      </c>
      <c r="R165" t="s">
        <v>1058</v>
      </c>
      <c r="S165">
        <v>314113</v>
      </c>
    </row>
    <row r="166" spans="10:19" x14ac:dyDescent="0.25">
      <c r="J166">
        <v>48</v>
      </c>
      <c r="K166" t="s">
        <v>776</v>
      </c>
      <c r="L166" t="s">
        <v>1045</v>
      </c>
      <c r="M166" t="s">
        <v>157</v>
      </c>
      <c r="N166">
        <v>314113</v>
      </c>
      <c r="Q166">
        <v>48</v>
      </c>
      <c r="R166" t="s">
        <v>1138</v>
      </c>
      <c r="S166">
        <v>314113</v>
      </c>
    </row>
    <row r="167" spans="10:19" x14ac:dyDescent="0.25">
      <c r="J167">
        <v>48</v>
      </c>
      <c r="K167" t="s">
        <v>776</v>
      </c>
      <c r="L167" t="s">
        <v>1058</v>
      </c>
      <c r="M167" t="s">
        <v>157</v>
      </c>
      <c r="N167">
        <v>314113</v>
      </c>
      <c r="Q167">
        <v>48</v>
      </c>
      <c r="R167" t="s">
        <v>1150</v>
      </c>
      <c r="S167">
        <v>314113</v>
      </c>
    </row>
    <row r="168" spans="10:19" x14ac:dyDescent="0.25">
      <c r="J168">
        <v>48</v>
      </c>
      <c r="K168" t="s">
        <v>776</v>
      </c>
      <c r="L168" t="s">
        <v>1138</v>
      </c>
      <c r="M168" t="s">
        <v>157</v>
      </c>
      <c r="N168">
        <v>314113</v>
      </c>
      <c r="Q168">
        <v>48</v>
      </c>
      <c r="R168" t="s">
        <v>1151</v>
      </c>
      <c r="S168">
        <v>314113</v>
      </c>
    </row>
    <row r="169" spans="10:19" x14ac:dyDescent="0.25">
      <c r="J169">
        <v>48</v>
      </c>
      <c r="K169" t="s">
        <v>776</v>
      </c>
      <c r="L169" t="s">
        <v>1150</v>
      </c>
      <c r="M169" t="s">
        <v>157</v>
      </c>
      <c r="N169">
        <v>314113</v>
      </c>
      <c r="Q169">
        <v>48</v>
      </c>
      <c r="R169" t="s">
        <v>1161</v>
      </c>
      <c r="S169">
        <v>314113</v>
      </c>
    </row>
    <row r="170" spans="10:19" x14ac:dyDescent="0.25">
      <c r="J170">
        <v>48</v>
      </c>
      <c r="K170" t="s">
        <v>776</v>
      </c>
      <c r="L170" t="s">
        <v>1151</v>
      </c>
      <c r="M170" t="s">
        <v>157</v>
      </c>
      <c r="N170">
        <v>314113</v>
      </c>
      <c r="Q170">
        <v>48</v>
      </c>
      <c r="R170" t="s">
        <v>1169</v>
      </c>
      <c r="S170">
        <v>314113</v>
      </c>
    </row>
    <row r="171" spans="10:19" x14ac:dyDescent="0.25">
      <c r="J171">
        <v>48</v>
      </c>
      <c r="K171" t="s">
        <v>776</v>
      </c>
      <c r="L171" t="s">
        <v>1161</v>
      </c>
      <c r="M171" t="s">
        <v>157</v>
      </c>
      <c r="N171">
        <v>314113</v>
      </c>
      <c r="Q171">
        <v>48</v>
      </c>
      <c r="R171" t="s">
        <v>1175</v>
      </c>
      <c r="S171">
        <v>314113</v>
      </c>
    </row>
    <row r="172" spans="10:19" x14ac:dyDescent="0.25">
      <c r="J172">
        <v>48</v>
      </c>
      <c r="K172" t="s">
        <v>776</v>
      </c>
      <c r="L172" t="s">
        <v>1169</v>
      </c>
      <c r="M172" t="s">
        <v>157</v>
      </c>
      <c r="N172">
        <v>314113</v>
      </c>
      <c r="Q172">
        <v>48</v>
      </c>
      <c r="R172" t="s">
        <v>1176</v>
      </c>
      <c r="S172">
        <v>314113</v>
      </c>
    </row>
    <row r="173" spans="10:19" x14ac:dyDescent="0.25">
      <c r="J173">
        <v>48</v>
      </c>
      <c r="K173" t="s">
        <v>776</v>
      </c>
      <c r="L173" t="s">
        <v>1175</v>
      </c>
      <c r="M173" t="s">
        <v>157</v>
      </c>
      <c r="N173">
        <v>314113</v>
      </c>
      <c r="Q173">
        <v>48</v>
      </c>
      <c r="R173" t="s">
        <v>1177</v>
      </c>
      <c r="S173">
        <v>314113</v>
      </c>
    </row>
    <row r="174" spans="10:19" x14ac:dyDescent="0.25">
      <c r="J174">
        <v>48</v>
      </c>
      <c r="K174" t="s">
        <v>776</v>
      </c>
      <c r="L174" t="s">
        <v>1176</v>
      </c>
      <c r="M174" t="s">
        <v>157</v>
      </c>
      <c r="N174">
        <v>314113</v>
      </c>
      <c r="Q174">
        <v>48</v>
      </c>
      <c r="R174" t="s">
        <v>1181</v>
      </c>
      <c r="S174">
        <v>314050</v>
      </c>
    </row>
    <row r="175" spans="10:19" x14ac:dyDescent="0.25">
      <c r="J175">
        <v>48</v>
      </c>
      <c r="K175" t="s">
        <v>776</v>
      </c>
      <c r="L175" t="s">
        <v>1177</v>
      </c>
      <c r="M175" t="s">
        <v>157</v>
      </c>
      <c r="N175">
        <v>314113</v>
      </c>
      <c r="Q175">
        <v>49</v>
      </c>
      <c r="R175" t="s">
        <v>513</v>
      </c>
      <c r="S175">
        <v>314009</v>
      </c>
    </row>
    <row r="176" spans="10:19" x14ac:dyDescent="0.25">
      <c r="J176">
        <v>48</v>
      </c>
      <c r="K176" t="s">
        <v>993</v>
      </c>
      <c r="L176" t="s">
        <v>1181</v>
      </c>
      <c r="M176" t="s">
        <v>148</v>
      </c>
      <c r="N176">
        <v>314050</v>
      </c>
      <c r="Q176">
        <v>50</v>
      </c>
      <c r="R176" t="s">
        <v>818</v>
      </c>
      <c r="S176">
        <v>314009</v>
      </c>
    </row>
    <row r="177" spans="10:19" x14ac:dyDescent="0.25">
      <c r="J177">
        <v>49</v>
      </c>
      <c r="K177" t="s">
        <v>515</v>
      </c>
      <c r="L177" t="s">
        <v>513</v>
      </c>
      <c r="M177" t="s">
        <v>142</v>
      </c>
      <c r="N177">
        <v>314009</v>
      </c>
      <c r="Q177">
        <v>50</v>
      </c>
      <c r="R177" t="s">
        <v>842</v>
      </c>
      <c r="S177">
        <v>314009</v>
      </c>
    </row>
    <row r="178" spans="10:19" x14ac:dyDescent="0.25">
      <c r="J178">
        <v>50</v>
      </c>
      <c r="K178" t="s">
        <v>817</v>
      </c>
      <c r="L178" t="s">
        <v>818</v>
      </c>
      <c r="M178" t="s">
        <v>142</v>
      </c>
      <c r="N178">
        <v>314009</v>
      </c>
      <c r="Q178">
        <v>50</v>
      </c>
      <c r="R178" t="s">
        <v>1095</v>
      </c>
      <c r="S178">
        <v>314009</v>
      </c>
    </row>
    <row r="179" spans="10:19" x14ac:dyDescent="0.25">
      <c r="J179">
        <v>50</v>
      </c>
      <c r="K179" t="s">
        <v>817</v>
      </c>
      <c r="L179" t="s">
        <v>842</v>
      </c>
      <c r="M179" t="s">
        <v>142</v>
      </c>
      <c r="N179">
        <v>314009</v>
      </c>
    </row>
    <row r="180" spans="10:19" x14ac:dyDescent="0.25">
      <c r="J180">
        <v>50</v>
      </c>
      <c r="K180" t="s">
        <v>817</v>
      </c>
      <c r="L180" t="s">
        <v>1095</v>
      </c>
      <c r="M180" t="s">
        <v>142</v>
      </c>
      <c r="N180">
        <v>314009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EFB8-103D-48EA-8391-1E817E3A038E}">
  <dimension ref="A1:J47"/>
  <sheetViews>
    <sheetView tabSelected="1" workbookViewId="0">
      <selection activeCell="H3" sqref="H3:J8"/>
    </sheetView>
  </sheetViews>
  <sheetFormatPr defaultRowHeight="15" x14ac:dyDescent="0.25"/>
  <cols>
    <col min="2" max="2" width="24.85546875" bestFit="1" customWidth="1"/>
    <col min="9" max="9" width="58.140625" bestFit="1" customWidth="1"/>
  </cols>
  <sheetData>
    <row r="1" spans="1:10" x14ac:dyDescent="0.25">
      <c r="A1" s="15" t="s">
        <v>53</v>
      </c>
      <c r="B1" s="15"/>
      <c r="C1" s="15"/>
    </row>
    <row r="2" spans="1:10" ht="15.75" thickBot="1" x14ac:dyDescent="0.3">
      <c r="A2" t="s">
        <v>1190</v>
      </c>
      <c r="B2" t="s">
        <v>1191</v>
      </c>
      <c r="C2" t="s">
        <v>419</v>
      </c>
    </row>
    <row r="3" spans="1:10" ht="15.75" thickBot="1" x14ac:dyDescent="0.3">
      <c r="A3" s="9">
        <v>314093</v>
      </c>
      <c r="B3" t="str">
        <f>"(SALE_STAFF_ID = '" &amp; Table2[[#This Row],[SID]] &amp; "')"</f>
        <v>(SALE_STAFF_ID = '314093')</v>
      </c>
      <c r="C3" t="s">
        <v>1192</v>
      </c>
      <c r="H3" s="8">
        <v>314002</v>
      </c>
      <c r="I3" s="2" t="str">
        <f>"((SALE_STAFF_ID = '" &amp; H3  &amp; "') OR (SALE_STAFF_BM_ID = '" &amp; H3 &amp; "'))"</f>
        <v>((SALE_STAFF_ID = '314002') OR (SALE_STAFF_BM_ID = '314002'))</v>
      </c>
      <c r="J3" t="s">
        <v>1193</v>
      </c>
    </row>
    <row r="4" spans="1:10" ht="15.75" thickBot="1" x14ac:dyDescent="0.3">
      <c r="A4" s="9">
        <v>314122</v>
      </c>
      <c r="B4" t="str">
        <f>"(SALE_STAFF_ID = '" &amp; Table2[[#This Row],[SID]] &amp; "')"</f>
        <v>(SALE_STAFF_ID = '314122')</v>
      </c>
      <c r="C4" t="s">
        <v>1192</v>
      </c>
      <c r="H4" s="16">
        <v>314009</v>
      </c>
      <c r="I4" s="2" t="str">
        <f t="shared" ref="I4:I8" si="0">"((SALE_STAFF_ID = '" &amp; H4  &amp; "') OR (SALE_STAFF_BM_ID = '" &amp; H4 &amp; "'))"</f>
        <v>((SALE_STAFF_ID = '314009') OR (SALE_STAFF_BM_ID = '314009'))</v>
      </c>
      <c r="J4" t="s">
        <v>1193</v>
      </c>
    </row>
    <row r="5" spans="1:10" ht="15.75" thickBot="1" x14ac:dyDescent="0.3">
      <c r="A5" s="10">
        <v>314125</v>
      </c>
      <c r="B5" t="str">
        <f>"(SALE_STAFF_ID = '" &amp; Table2[[#This Row],[SID]] &amp; "')"</f>
        <v>(SALE_STAFF_ID = '314125')</v>
      </c>
      <c r="C5" t="s">
        <v>1192</v>
      </c>
      <c r="H5" s="9">
        <v>314050</v>
      </c>
      <c r="I5" s="2" t="str">
        <f t="shared" si="0"/>
        <v>((SALE_STAFF_ID = '314050') OR (SALE_STAFF_BM_ID = '314050'))</v>
      </c>
      <c r="J5" t="s">
        <v>1193</v>
      </c>
    </row>
    <row r="6" spans="1:10" ht="15.75" thickBot="1" x14ac:dyDescent="0.3">
      <c r="A6" s="9">
        <v>314126</v>
      </c>
      <c r="B6" t="str">
        <f>"(SALE_STAFF_ID = '" &amp; Table2[[#This Row],[SID]] &amp; "')"</f>
        <v>(SALE_STAFF_ID = '314126')</v>
      </c>
      <c r="C6" t="s">
        <v>1192</v>
      </c>
      <c r="H6" s="9">
        <v>314083</v>
      </c>
      <c r="I6" s="2" t="str">
        <f t="shared" si="0"/>
        <v>((SALE_STAFF_ID = '314083') OR (SALE_STAFF_BM_ID = '314083'))</v>
      </c>
      <c r="J6" t="s">
        <v>1193</v>
      </c>
    </row>
    <row r="7" spans="1:10" ht="15.75" thickBot="1" x14ac:dyDescent="0.3">
      <c r="A7" s="9">
        <v>315025</v>
      </c>
      <c r="B7" t="str">
        <f>"(SALE_STAFF_ID = '" &amp; Table2[[#This Row],[SID]] &amp; "')"</f>
        <v>(SALE_STAFF_ID = '315025')</v>
      </c>
      <c r="C7" t="s">
        <v>1192</v>
      </c>
      <c r="H7" s="9">
        <v>314059</v>
      </c>
      <c r="I7" s="2" t="str">
        <f t="shared" si="0"/>
        <v>((SALE_STAFF_ID = '314059') OR (SALE_STAFF_BM_ID = '314059'))</v>
      </c>
      <c r="J7" t="s">
        <v>1193</v>
      </c>
    </row>
    <row r="8" spans="1:10" ht="15.75" thickBot="1" x14ac:dyDescent="0.3">
      <c r="A8" s="9">
        <v>315026</v>
      </c>
      <c r="B8" t="str">
        <f>"(SALE_STAFF_ID = '" &amp; Table2[[#This Row],[SID]] &amp; "')"</f>
        <v>(SALE_STAFF_ID = '315026')</v>
      </c>
      <c r="C8" t="s">
        <v>1192</v>
      </c>
      <c r="H8" s="9">
        <v>314090</v>
      </c>
      <c r="I8" s="2" t="str">
        <f t="shared" si="0"/>
        <v>((SALE_STAFF_ID = '314090') OR (SALE_STAFF_BM_ID = '314090'))</v>
      </c>
      <c r="J8" t="s">
        <v>1193</v>
      </c>
    </row>
    <row r="9" spans="1:10" ht="15.75" thickBot="1" x14ac:dyDescent="0.3">
      <c r="A9" s="9">
        <v>315027</v>
      </c>
      <c r="B9" t="str">
        <f>"(SALE_STAFF_ID = '" &amp; Table2[[#This Row],[SID]] &amp; "')"</f>
        <v>(SALE_STAFF_ID = '315027')</v>
      </c>
      <c r="C9" t="s">
        <v>1192</v>
      </c>
    </row>
    <row r="10" spans="1:10" ht="15.75" thickBot="1" x14ac:dyDescent="0.3">
      <c r="A10" s="11">
        <v>313002</v>
      </c>
      <c r="B10" t="str">
        <f>"(SALE_STAFF_ID = '" &amp; Table2[[#This Row],[SID]] &amp; "')"</f>
        <v>(SALE_STAFF_ID = '313002')</v>
      </c>
      <c r="C10" t="s">
        <v>1192</v>
      </c>
    </row>
    <row r="11" spans="1:10" ht="15.75" thickBot="1" x14ac:dyDescent="0.3">
      <c r="A11" s="9">
        <v>313004</v>
      </c>
      <c r="B11" t="str">
        <f>"(SALE_STAFF_ID = '" &amp; Table2[[#This Row],[SID]] &amp; "')"</f>
        <v>(SALE_STAFF_ID = '313004')</v>
      </c>
      <c r="C11" t="s">
        <v>1192</v>
      </c>
    </row>
    <row r="12" spans="1:10" ht="15.75" thickBot="1" x14ac:dyDescent="0.3">
      <c r="A12" s="9">
        <v>313008</v>
      </c>
      <c r="B12" t="str">
        <f>"(SALE_STAFF_ID = '" &amp; Table2[[#This Row],[SID]] &amp; "')"</f>
        <v>(SALE_STAFF_ID = '313008')</v>
      </c>
      <c r="C12" t="s">
        <v>1192</v>
      </c>
    </row>
    <row r="13" spans="1:10" ht="15.75" thickBot="1" x14ac:dyDescent="0.3">
      <c r="A13" s="12">
        <v>313014</v>
      </c>
      <c r="B13" t="str">
        <f>"(SALE_STAFF_ID = '" &amp; Table2[[#This Row],[SID]] &amp; "')"</f>
        <v>(SALE_STAFF_ID = '313014')</v>
      </c>
      <c r="C13" t="s">
        <v>1192</v>
      </c>
    </row>
    <row r="14" spans="1:10" ht="15.75" thickBot="1" x14ac:dyDescent="0.3">
      <c r="A14" s="13">
        <v>313016</v>
      </c>
      <c r="B14" t="str">
        <f>"(SALE_STAFF_ID = '" &amp; Table2[[#This Row],[SID]] &amp; "')"</f>
        <v>(SALE_STAFF_ID = '313016')</v>
      </c>
      <c r="C14" t="s">
        <v>1192</v>
      </c>
    </row>
    <row r="15" spans="1:10" ht="15.75" thickBot="1" x14ac:dyDescent="0.3">
      <c r="A15" s="9">
        <v>313018</v>
      </c>
      <c r="B15" t="str">
        <f>"(SALE_STAFF_ID = '" &amp; Table2[[#This Row],[SID]] &amp; "')"</f>
        <v>(SALE_STAFF_ID = '313018')</v>
      </c>
      <c r="C15" t="s">
        <v>1192</v>
      </c>
    </row>
    <row r="16" spans="1:10" ht="15.75" thickBot="1" x14ac:dyDescent="0.3">
      <c r="A16" s="9">
        <v>313023</v>
      </c>
      <c r="B16" t="str">
        <f>"(SALE_STAFF_ID = '" &amp; Table2[[#This Row],[SID]] &amp; "')"</f>
        <v>(SALE_STAFF_ID = '313023')</v>
      </c>
      <c r="C16" t="s">
        <v>1192</v>
      </c>
    </row>
    <row r="17" spans="1:3" ht="15.75" thickBot="1" x14ac:dyDescent="0.3">
      <c r="A17" s="9">
        <v>313031</v>
      </c>
      <c r="B17" t="str">
        <f>"(SALE_STAFF_ID = '" &amp; Table2[[#This Row],[SID]] &amp; "')"</f>
        <v>(SALE_STAFF_ID = '313031')</v>
      </c>
      <c r="C17" t="s">
        <v>1192</v>
      </c>
    </row>
    <row r="18" spans="1:3" ht="15.75" thickBot="1" x14ac:dyDescent="0.3">
      <c r="A18" s="9">
        <v>313036</v>
      </c>
      <c r="B18" t="str">
        <f>"(SALE_STAFF_ID = '" &amp; Table2[[#This Row],[SID]] &amp; "')"</f>
        <v>(SALE_STAFF_ID = '313036')</v>
      </c>
      <c r="C18" t="s">
        <v>1192</v>
      </c>
    </row>
    <row r="19" spans="1:3" ht="15.75" thickBot="1" x14ac:dyDescent="0.3">
      <c r="A19" s="9">
        <v>313037</v>
      </c>
      <c r="B19" t="str">
        <f>"(SALE_STAFF_ID = '" &amp; Table2[[#This Row],[SID]] &amp; "')"</f>
        <v>(SALE_STAFF_ID = '313037')</v>
      </c>
      <c r="C19" t="s">
        <v>1192</v>
      </c>
    </row>
    <row r="20" spans="1:3" ht="15.75" thickBot="1" x14ac:dyDescent="0.3">
      <c r="A20" s="9">
        <v>313041</v>
      </c>
      <c r="B20" t="str">
        <f>"(SALE_STAFF_ID = '" &amp; Table2[[#This Row],[SID]] &amp; "')"</f>
        <v>(SALE_STAFF_ID = '313041')</v>
      </c>
      <c r="C20" t="s">
        <v>1192</v>
      </c>
    </row>
    <row r="21" spans="1:3" ht="15.75" thickBot="1" x14ac:dyDescent="0.3">
      <c r="A21" s="9">
        <v>313042</v>
      </c>
      <c r="B21" t="str">
        <f>"(SALE_STAFF_ID = '" &amp; Table2[[#This Row],[SID]] &amp; "')"</f>
        <v>(SALE_STAFF_ID = '313042')</v>
      </c>
      <c r="C21" t="s">
        <v>1192</v>
      </c>
    </row>
    <row r="22" spans="1:3" ht="15.75" thickBot="1" x14ac:dyDescent="0.3">
      <c r="A22" s="9">
        <v>313043</v>
      </c>
      <c r="B22" t="str">
        <f>"(SALE_STAFF_ID = '" &amp; Table2[[#This Row],[SID]] &amp; "')"</f>
        <v>(SALE_STAFF_ID = '313043')</v>
      </c>
      <c r="C22" t="s">
        <v>1192</v>
      </c>
    </row>
    <row r="23" spans="1:3" ht="15.75" thickBot="1" x14ac:dyDescent="0.3">
      <c r="A23" s="9">
        <v>313044</v>
      </c>
      <c r="B23" t="str">
        <f>"(SALE_STAFF_ID = '" &amp; Table2[[#This Row],[SID]] &amp; "')"</f>
        <v>(SALE_STAFF_ID = '313044')</v>
      </c>
      <c r="C23" t="s">
        <v>1192</v>
      </c>
    </row>
    <row r="24" spans="1:3" ht="15.75" thickBot="1" x14ac:dyDescent="0.3">
      <c r="A24" s="9">
        <v>313045</v>
      </c>
      <c r="B24" t="str">
        <f>"(SALE_STAFF_ID = '" &amp; Table2[[#This Row],[SID]] &amp; "')"</f>
        <v>(SALE_STAFF_ID = '313045')</v>
      </c>
      <c r="C24" t="s">
        <v>1192</v>
      </c>
    </row>
    <row r="25" spans="1:3" ht="15.75" thickBot="1" x14ac:dyDescent="0.3">
      <c r="A25" s="9">
        <v>314017</v>
      </c>
      <c r="B25" t="str">
        <f>"(SALE_STAFF_ID = '" &amp; Table2[[#This Row],[SID]] &amp; "')"</f>
        <v>(SALE_STAFF_ID = '314017')</v>
      </c>
      <c r="C25" t="s">
        <v>1192</v>
      </c>
    </row>
    <row r="26" spans="1:3" ht="15.75" thickBot="1" x14ac:dyDescent="0.3">
      <c r="A26" s="9">
        <v>314033</v>
      </c>
      <c r="B26" t="str">
        <f>"(SALE_STAFF_ID = '" &amp; Table2[[#This Row],[SID]] &amp; "')"</f>
        <v>(SALE_STAFF_ID = '314033')</v>
      </c>
      <c r="C26" t="s">
        <v>1192</v>
      </c>
    </row>
    <row r="27" spans="1:3" ht="15.75" thickBot="1" x14ac:dyDescent="0.3">
      <c r="A27" s="9">
        <v>314041</v>
      </c>
      <c r="B27" t="str">
        <f>"(SALE_STAFF_ID = '" &amp; Table2[[#This Row],[SID]] &amp; "')"</f>
        <v>(SALE_STAFF_ID = '314041')</v>
      </c>
      <c r="C27" t="s">
        <v>1192</v>
      </c>
    </row>
    <row r="28" spans="1:3" ht="15.75" thickBot="1" x14ac:dyDescent="0.3">
      <c r="A28" s="9">
        <v>314044</v>
      </c>
      <c r="B28" t="str">
        <f>"(SALE_STAFF_ID = '" &amp; Table2[[#This Row],[SID]] &amp; "')"</f>
        <v>(SALE_STAFF_ID = '314044')</v>
      </c>
      <c r="C28" t="s">
        <v>1192</v>
      </c>
    </row>
    <row r="29" spans="1:3" ht="15.75" thickBot="1" x14ac:dyDescent="0.3">
      <c r="A29" s="9">
        <v>314057</v>
      </c>
      <c r="B29" t="str">
        <f>"(SALE_STAFF_ID = '" &amp; Table2[[#This Row],[SID]] &amp; "')"</f>
        <v>(SALE_STAFF_ID = '314057')</v>
      </c>
      <c r="C29" t="s">
        <v>1192</v>
      </c>
    </row>
    <row r="30" spans="1:3" ht="15.75" thickBot="1" x14ac:dyDescent="0.3">
      <c r="A30" s="9">
        <v>314061</v>
      </c>
      <c r="B30" t="str">
        <f>"(SALE_STAFF_ID = '" &amp; Table2[[#This Row],[SID]] &amp; "')"</f>
        <v>(SALE_STAFF_ID = '314061')</v>
      </c>
      <c r="C30" t="s">
        <v>1192</v>
      </c>
    </row>
    <row r="31" spans="1:3" ht="15.75" thickBot="1" x14ac:dyDescent="0.3">
      <c r="A31" s="9">
        <v>314082</v>
      </c>
      <c r="B31" t="str">
        <f>"(SALE_STAFF_ID = '" &amp; Table2[[#This Row],[SID]] &amp; "')"</f>
        <v>(SALE_STAFF_ID = '314082')</v>
      </c>
      <c r="C31" t="s">
        <v>1192</v>
      </c>
    </row>
    <row r="32" spans="1:3" ht="15.75" thickBot="1" x14ac:dyDescent="0.3">
      <c r="A32" s="9">
        <v>314084</v>
      </c>
      <c r="B32" t="str">
        <f>"(SALE_STAFF_ID = '" &amp; Table2[[#This Row],[SID]] &amp; "')"</f>
        <v>(SALE_STAFF_ID = '314084')</v>
      </c>
      <c r="C32" t="s">
        <v>1192</v>
      </c>
    </row>
    <row r="33" spans="1:3" ht="15.75" thickBot="1" x14ac:dyDescent="0.3">
      <c r="A33" s="9">
        <v>314086</v>
      </c>
      <c r="B33" t="str">
        <f>"(SALE_STAFF_ID = '" &amp; Table2[[#This Row],[SID]] &amp; "')"</f>
        <v>(SALE_STAFF_ID = '314086')</v>
      </c>
      <c r="C33" t="s">
        <v>1192</v>
      </c>
    </row>
    <row r="34" spans="1:3" ht="15.75" thickBot="1" x14ac:dyDescent="0.3">
      <c r="A34" s="9">
        <v>314094</v>
      </c>
      <c r="B34" t="str">
        <f>"(SALE_STAFF_ID = '" &amp; Table2[[#This Row],[SID]] &amp; "')"</f>
        <v>(SALE_STAFF_ID = '314094')</v>
      </c>
      <c r="C34" t="s">
        <v>1192</v>
      </c>
    </row>
    <row r="35" spans="1:3" ht="15.75" thickBot="1" x14ac:dyDescent="0.3">
      <c r="A35" s="9">
        <v>314096</v>
      </c>
      <c r="B35" t="str">
        <f>"(SALE_STAFF_ID = '" &amp; Table2[[#This Row],[SID]] &amp; "')"</f>
        <v>(SALE_STAFF_ID = '314096')</v>
      </c>
      <c r="C35" t="s">
        <v>1192</v>
      </c>
    </row>
    <row r="36" spans="1:3" ht="15.75" thickBot="1" x14ac:dyDescent="0.3">
      <c r="A36" s="9">
        <v>314107</v>
      </c>
      <c r="B36" t="str">
        <f>"(SALE_STAFF_ID = '" &amp; Table2[[#This Row],[SID]] &amp; "')"</f>
        <v>(SALE_STAFF_ID = '314107')</v>
      </c>
      <c r="C36" t="s">
        <v>1192</v>
      </c>
    </row>
    <row r="37" spans="1:3" ht="15.75" thickBot="1" x14ac:dyDescent="0.3">
      <c r="A37" s="9">
        <v>314118</v>
      </c>
      <c r="B37" t="str">
        <f>"(SALE_STAFF_ID = '" &amp; Table2[[#This Row],[SID]] &amp; "')"</f>
        <v>(SALE_STAFF_ID = '314118')</v>
      </c>
      <c r="C37" t="s">
        <v>1192</v>
      </c>
    </row>
    <row r="38" spans="1:3" ht="15.75" thickBot="1" x14ac:dyDescent="0.3">
      <c r="A38" s="9">
        <v>314119</v>
      </c>
      <c r="B38" t="str">
        <f>"(SALE_STAFF_ID = '" &amp; Table2[[#This Row],[SID]] &amp; "')"</f>
        <v>(SALE_STAFF_ID = '314119')</v>
      </c>
      <c r="C38" t="s">
        <v>1192</v>
      </c>
    </row>
    <row r="39" spans="1:3" ht="15.75" thickBot="1" x14ac:dyDescent="0.3">
      <c r="A39" s="9">
        <v>314120</v>
      </c>
      <c r="B39" t="str">
        <f>"(SALE_STAFF_ID = '" &amp; Table2[[#This Row],[SID]] &amp; "')"</f>
        <v>(SALE_STAFF_ID = '314120')</v>
      </c>
      <c r="C39" t="s">
        <v>1192</v>
      </c>
    </row>
    <row r="40" spans="1:3" ht="15.75" thickBot="1" x14ac:dyDescent="0.3">
      <c r="A40" s="9">
        <v>314121</v>
      </c>
      <c r="B40" t="str">
        <f>"(SALE_STAFF_ID = '" &amp; Table2[[#This Row],[SID]] &amp; "')"</f>
        <v>(SALE_STAFF_ID = '314121')</v>
      </c>
      <c r="C40" t="s">
        <v>1192</v>
      </c>
    </row>
    <row r="41" spans="1:3" ht="15.75" thickBot="1" x14ac:dyDescent="0.3">
      <c r="A41" s="14">
        <v>315009</v>
      </c>
      <c r="B41" t="str">
        <f>"(SALE_STAFF_ID = '" &amp; Table2[[#This Row],[SID]] &amp; "')"</f>
        <v>(SALE_STAFF_ID = '315009')</v>
      </c>
      <c r="C41" t="s">
        <v>1192</v>
      </c>
    </row>
    <row r="42" spans="1:3" ht="15.75" thickBot="1" x14ac:dyDescent="0.3">
      <c r="A42" s="9">
        <v>315014</v>
      </c>
      <c r="B42" t="str">
        <f>"(SALE_STAFF_ID = '" &amp; Table2[[#This Row],[SID]] &amp; "')"</f>
        <v>(SALE_STAFF_ID = '315014')</v>
      </c>
      <c r="C42" t="s">
        <v>1192</v>
      </c>
    </row>
    <row r="43" spans="1:3" ht="15.75" thickBot="1" x14ac:dyDescent="0.3">
      <c r="A43" s="9">
        <v>315018</v>
      </c>
      <c r="B43" t="str">
        <f>"(SALE_STAFF_ID = '" &amp; Table2[[#This Row],[SID]] &amp; "')"</f>
        <v>(SALE_STAFF_ID = '315018')</v>
      </c>
      <c r="C43" t="s">
        <v>1192</v>
      </c>
    </row>
    <row r="44" spans="1:3" ht="15.75" thickBot="1" x14ac:dyDescent="0.3">
      <c r="A44" s="9">
        <v>315021</v>
      </c>
      <c r="B44" t="str">
        <f>"(SALE_STAFF_ID = '" &amp; Table2[[#This Row],[SID]] &amp; "')"</f>
        <v>(SALE_STAFF_ID = '315021')</v>
      </c>
      <c r="C44" t="s">
        <v>1192</v>
      </c>
    </row>
    <row r="45" spans="1:3" ht="15.75" thickBot="1" x14ac:dyDescent="0.3">
      <c r="A45" s="9">
        <v>315022</v>
      </c>
      <c r="B45" t="str">
        <f>"(SALE_STAFF_ID = '" &amp; Table2[[#This Row],[SID]] &amp; "')"</f>
        <v>(SALE_STAFF_ID = '315022')</v>
      </c>
      <c r="C45" t="s">
        <v>1192</v>
      </c>
    </row>
    <row r="46" spans="1:3" ht="15.75" thickBot="1" x14ac:dyDescent="0.3">
      <c r="A46" s="9">
        <v>315023</v>
      </c>
      <c r="B46" t="str">
        <f>"(SALE_STAFF_ID = '" &amp; Table2[[#This Row],[SID]] &amp; "')"</f>
        <v>(SALE_STAFF_ID = '315023')</v>
      </c>
      <c r="C46" t="s">
        <v>1192</v>
      </c>
    </row>
    <row r="47" spans="1:3" ht="15.75" thickBot="1" x14ac:dyDescent="0.3">
      <c r="A47" s="9">
        <v>417007</v>
      </c>
      <c r="B47" t="str">
        <f>"(SALE_STAFF_ID = '" &amp; Table2[[#This Row],[SID]] &amp; "')"</f>
        <v>(SALE_STAFF_ID = '417007')</v>
      </c>
      <c r="C47" t="s">
        <v>1192</v>
      </c>
    </row>
  </sheetData>
  <mergeCells count="1">
    <mergeCell ref="A1:C1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CD25-3F51-4236-BD26-9A495009B910}">
  <dimension ref="C1:D89"/>
  <sheetViews>
    <sheetView workbookViewId="0">
      <selection activeCell="D4" sqref="D4"/>
    </sheetView>
  </sheetViews>
  <sheetFormatPr defaultRowHeight="15" x14ac:dyDescent="0.25"/>
  <cols>
    <col min="3" max="3" width="23.7109375" bestFit="1" customWidth="1"/>
  </cols>
  <sheetData>
    <row r="1" spans="3:4" x14ac:dyDescent="0.25">
      <c r="C1" t="s">
        <v>311</v>
      </c>
      <c r="D1" t="s">
        <v>310</v>
      </c>
    </row>
    <row r="2" spans="3:4" x14ac:dyDescent="0.25">
      <c r="C2" t="s">
        <v>113</v>
      </c>
      <c r="D2">
        <v>300001</v>
      </c>
    </row>
    <row r="3" spans="3:4" x14ac:dyDescent="0.25">
      <c r="C3" t="s">
        <v>118</v>
      </c>
      <c r="D3">
        <v>313001</v>
      </c>
    </row>
    <row r="4" spans="3:4" x14ac:dyDescent="0.25">
      <c r="C4" t="s">
        <v>121</v>
      </c>
      <c r="D4">
        <v>314001</v>
      </c>
    </row>
    <row r="5" spans="3:4" x14ac:dyDescent="0.25">
      <c r="C5" t="s">
        <v>123</v>
      </c>
      <c r="D5">
        <v>314002</v>
      </c>
    </row>
    <row r="6" spans="3:4" x14ac:dyDescent="0.25">
      <c r="C6" t="s">
        <v>127</v>
      </c>
      <c r="D6">
        <v>314003</v>
      </c>
    </row>
    <row r="7" spans="3:4" x14ac:dyDescent="0.25">
      <c r="C7" t="s">
        <v>130</v>
      </c>
      <c r="D7">
        <v>314004</v>
      </c>
    </row>
    <row r="8" spans="3:4" x14ac:dyDescent="0.25">
      <c r="C8" t="s">
        <v>133</v>
      </c>
      <c r="D8">
        <v>314006</v>
      </c>
    </row>
    <row r="9" spans="3:4" x14ac:dyDescent="0.25">
      <c r="C9" t="s">
        <v>136</v>
      </c>
      <c r="D9">
        <v>314007</v>
      </c>
    </row>
    <row r="10" spans="3:4" x14ac:dyDescent="0.25">
      <c r="C10" t="s">
        <v>139</v>
      </c>
      <c r="D10">
        <v>314008</v>
      </c>
    </row>
    <row r="11" spans="3:4" x14ac:dyDescent="0.25">
      <c r="C11" t="s">
        <v>142</v>
      </c>
      <c r="D11">
        <v>314009</v>
      </c>
    </row>
    <row r="12" spans="3:4" x14ac:dyDescent="0.25">
      <c r="C12" t="s">
        <v>145</v>
      </c>
      <c r="D12">
        <v>314039</v>
      </c>
    </row>
    <row r="13" spans="3:4" x14ac:dyDescent="0.25">
      <c r="C13" t="s">
        <v>148</v>
      </c>
      <c r="D13">
        <v>314050</v>
      </c>
    </row>
    <row r="14" spans="3:4" x14ac:dyDescent="0.25">
      <c r="C14" t="s">
        <v>151</v>
      </c>
      <c r="D14">
        <v>314083</v>
      </c>
    </row>
    <row r="15" spans="3:4" x14ac:dyDescent="0.25">
      <c r="C15" t="s">
        <v>154</v>
      </c>
      <c r="D15">
        <v>314112</v>
      </c>
    </row>
    <row r="16" spans="3:4" x14ac:dyDescent="0.25">
      <c r="C16" t="s">
        <v>157</v>
      </c>
      <c r="D16">
        <v>314113</v>
      </c>
    </row>
    <row r="17" spans="3:4" x14ac:dyDescent="0.25">
      <c r="C17" t="s">
        <v>160</v>
      </c>
      <c r="D17">
        <v>314116</v>
      </c>
    </row>
    <row r="18" spans="3:4" x14ac:dyDescent="0.25">
      <c r="C18" t="s">
        <v>165</v>
      </c>
      <c r="D18" t="s">
        <v>164</v>
      </c>
    </row>
    <row r="19" spans="3:4" x14ac:dyDescent="0.25">
      <c r="C19" t="s">
        <v>167</v>
      </c>
      <c r="D19">
        <v>313016</v>
      </c>
    </row>
    <row r="20" spans="3:4" x14ac:dyDescent="0.25">
      <c r="C20" t="s">
        <v>170</v>
      </c>
      <c r="D20">
        <v>313018</v>
      </c>
    </row>
    <row r="21" spans="3:4" x14ac:dyDescent="0.25">
      <c r="C21" t="s">
        <v>172</v>
      </c>
      <c r="D21">
        <v>313023</v>
      </c>
    </row>
    <row r="22" spans="3:4" x14ac:dyDescent="0.25">
      <c r="C22" t="s">
        <v>174</v>
      </c>
      <c r="D22">
        <v>314013</v>
      </c>
    </row>
    <row r="23" spans="3:4" x14ac:dyDescent="0.25">
      <c r="C23" t="s">
        <v>176</v>
      </c>
      <c r="D23">
        <v>314022</v>
      </c>
    </row>
    <row r="24" spans="3:4" x14ac:dyDescent="0.25">
      <c r="C24" t="s">
        <v>178</v>
      </c>
      <c r="D24">
        <v>314033</v>
      </c>
    </row>
    <row r="25" spans="3:4" x14ac:dyDescent="0.25">
      <c r="C25" t="s">
        <v>180</v>
      </c>
      <c r="D25">
        <v>314041</v>
      </c>
    </row>
    <row r="26" spans="3:4" x14ac:dyDescent="0.25">
      <c r="C26" t="s">
        <v>182</v>
      </c>
      <c r="D26">
        <v>314044</v>
      </c>
    </row>
    <row r="27" spans="3:4" x14ac:dyDescent="0.25">
      <c r="C27" t="s">
        <v>184</v>
      </c>
      <c r="D27">
        <v>314057</v>
      </c>
    </row>
    <row r="28" spans="3:4" x14ac:dyDescent="0.25">
      <c r="C28" t="s">
        <v>186</v>
      </c>
      <c r="D28">
        <v>314061</v>
      </c>
    </row>
    <row r="29" spans="3:4" x14ac:dyDescent="0.25">
      <c r="C29" t="s">
        <v>188</v>
      </c>
      <c r="D29">
        <v>314062</v>
      </c>
    </row>
    <row r="30" spans="3:4" x14ac:dyDescent="0.25">
      <c r="C30" t="s">
        <v>190</v>
      </c>
      <c r="D30">
        <v>314068</v>
      </c>
    </row>
    <row r="31" spans="3:4" x14ac:dyDescent="0.25">
      <c r="C31" t="s">
        <v>192</v>
      </c>
      <c r="D31">
        <v>314069</v>
      </c>
    </row>
    <row r="32" spans="3:4" x14ac:dyDescent="0.25">
      <c r="C32" t="s">
        <v>194</v>
      </c>
      <c r="D32">
        <v>314072</v>
      </c>
    </row>
    <row r="33" spans="3:4" x14ac:dyDescent="0.25">
      <c r="C33" t="s">
        <v>196</v>
      </c>
      <c r="D33">
        <v>314076</v>
      </c>
    </row>
    <row r="34" spans="3:4" x14ac:dyDescent="0.25">
      <c r="C34" t="s">
        <v>198</v>
      </c>
      <c r="D34">
        <v>314082</v>
      </c>
    </row>
    <row r="35" spans="3:4" x14ac:dyDescent="0.25">
      <c r="C35" t="s">
        <v>200</v>
      </c>
      <c r="D35">
        <v>314084</v>
      </c>
    </row>
    <row r="36" spans="3:4" x14ac:dyDescent="0.25">
      <c r="C36" t="s">
        <v>202</v>
      </c>
      <c r="D36">
        <v>314086</v>
      </c>
    </row>
    <row r="37" spans="3:4" x14ac:dyDescent="0.25">
      <c r="C37" t="s">
        <v>204</v>
      </c>
      <c r="D37">
        <v>314088</v>
      </c>
    </row>
    <row r="38" spans="3:4" x14ac:dyDescent="0.25">
      <c r="C38" t="s">
        <v>206</v>
      </c>
      <c r="D38">
        <v>314090</v>
      </c>
    </row>
    <row r="39" spans="3:4" x14ac:dyDescent="0.25">
      <c r="C39" t="s">
        <v>208</v>
      </c>
      <c r="D39">
        <v>314094</v>
      </c>
    </row>
    <row r="40" spans="3:4" x14ac:dyDescent="0.25">
      <c r="C40" t="s">
        <v>210</v>
      </c>
      <c r="D40">
        <v>314095</v>
      </c>
    </row>
    <row r="41" spans="3:4" x14ac:dyDescent="0.25">
      <c r="C41" t="s">
        <v>212</v>
      </c>
      <c r="D41">
        <v>314096</v>
      </c>
    </row>
    <row r="42" spans="3:4" x14ac:dyDescent="0.25">
      <c r="C42" t="s">
        <v>213</v>
      </c>
      <c r="D42">
        <v>314105</v>
      </c>
    </row>
    <row r="43" spans="3:4" x14ac:dyDescent="0.25">
      <c r="C43" t="s">
        <v>215</v>
      </c>
      <c r="D43">
        <v>314107</v>
      </c>
    </row>
    <row r="44" spans="3:4" x14ac:dyDescent="0.25">
      <c r="C44" t="s">
        <v>217</v>
      </c>
      <c r="D44">
        <v>314118</v>
      </c>
    </row>
    <row r="45" spans="3:4" x14ac:dyDescent="0.25">
      <c r="C45" t="s">
        <v>219</v>
      </c>
      <c r="D45">
        <v>314119</v>
      </c>
    </row>
    <row r="46" spans="3:4" x14ac:dyDescent="0.25">
      <c r="C46" t="s">
        <v>221</v>
      </c>
      <c r="D46">
        <v>314120</v>
      </c>
    </row>
    <row r="47" spans="3:4" x14ac:dyDescent="0.25">
      <c r="C47" t="s">
        <v>223</v>
      </c>
      <c r="D47">
        <v>314121</v>
      </c>
    </row>
    <row r="48" spans="3:4" x14ac:dyDescent="0.25">
      <c r="C48" t="s">
        <v>225</v>
      </c>
      <c r="D48">
        <v>313002</v>
      </c>
    </row>
    <row r="49" spans="3:4" x14ac:dyDescent="0.25">
      <c r="C49" t="s">
        <v>228</v>
      </c>
      <c r="D49">
        <v>313014</v>
      </c>
    </row>
    <row r="50" spans="3:4" x14ac:dyDescent="0.25">
      <c r="C50" t="s">
        <v>230</v>
      </c>
      <c r="D50">
        <v>313031</v>
      </c>
    </row>
    <row r="51" spans="3:4" x14ac:dyDescent="0.25">
      <c r="C51" t="s">
        <v>232</v>
      </c>
      <c r="D51">
        <v>313037</v>
      </c>
    </row>
    <row r="52" spans="3:4" x14ac:dyDescent="0.25">
      <c r="C52" t="s">
        <v>234</v>
      </c>
      <c r="D52">
        <v>313041</v>
      </c>
    </row>
    <row r="53" spans="3:4" x14ac:dyDescent="0.25">
      <c r="C53" t="s">
        <v>236</v>
      </c>
      <c r="D53">
        <v>313042</v>
      </c>
    </row>
    <row r="54" spans="3:4" x14ac:dyDescent="0.25">
      <c r="C54" t="s">
        <v>238</v>
      </c>
      <c r="D54">
        <v>313043</v>
      </c>
    </row>
    <row r="55" spans="3:4" x14ac:dyDescent="0.25">
      <c r="C55" t="s">
        <v>240</v>
      </c>
      <c r="D55">
        <v>313044</v>
      </c>
    </row>
    <row r="56" spans="3:4" x14ac:dyDescent="0.25">
      <c r="C56" t="s">
        <v>242</v>
      </c>
      <c r="D56">
        <v>315009</v>
      </c>
    </row>
    <row r="57" spans="3:4" x14ac:dyDescent="0.25">
      <c r="C57" t="s">
        <v>246</v>
      </c>
      <c r="D57" t="s">
        <v>245</v>
      </c>
    </row>
    <row r="58" spans="3:4" x14ac:dyDescent="0.25">
      <c r="C58" t="s">
        <v>247</v>
      </c>
      <c r="D58">
        <v>313004</v>
      </c>
    </row>
    <row r="59" spans="3:4" x14ac:dyDescent="0.25">
      <c r="C59" t="s">
        <v>251</v>
      </c>
      <c r="D59">
        <v>313008</v>
      </c>
    </row>
    <row r="60" spans="3:4" x14ac:dyDescent="0.25">
      <c r="C60" t="s">
        <v>252</v>
      </c>
      <c r="D60">
        <v>313036</v>
      </c>
    </row>
    <row r="61" spans="3:4" x14ac:dyDescent="0.25">
      <c r="C61" t="s">
        <v>255</v>
      </c>
      <c r="D61">
        <v>313045</v>
      </c>
    </row>
    <row r="62" spans="3:4" x14ac:dyDescent="0.25">
      <c r="C62" t="s">
        <v>257</v>
      </c>
      <c r="D62">
        <v>314017</v>
      </c>
    </row>
    <row r="63" spans="3:4" x14ac:dyDescent="0.25">
      <c r="C63" t="s">
        <v>258</v>
      </c>
      <c r="D63">
        <v>315014</v>
      </c>
    </row>
    <row r="64" spans="3:4" x14ac:dyDescent="0.25">
      <c r="C64" t="s">
        <v>260</v>
      </c>
      <c r="D64">
        <v>315018</v>
      </c>
    </row>
    <row r="65" spans="3:4" x14ac:dyDescent="0.25">
      <c r="C65" t="s">
        <v>262</v>
      </c>
      <c r="D65">
        <v>315021</v>
      </c>
    </row>
    <row r="66" spans="3:4" x14ac:dyDescent="0.25">
      <c r="C66" t="s">
        <v>264</v>
      </c>
      <c r="D66">
        <v>315022</v>
      </c>
    </row>
    <row r="67" spans="3:4" x14ac:dyDescent="0.25">
      <c r="C67" t="s">
        <v>265</v>
      </c>
      <c r="D67">
        <v>315023</v>
      </c>
    </row>
    <row r="68" spans="3:4" x14ac:dyDescent="0.25">
      <c r="C68" t="s">
        <v>267</v>
      </c>
      <c r="D68">
        <v>207008</v>
      </c>
    </row>
    <row r="69" spans="3:4" x14ac:dyDescent="0.25">
      <c r="C69" t="s">
        <v>270</v>
      </c>
      <c r="D69">
        <v>417007</v>
      </c>
    </row>
    <row r="70" spans="3:4" x14ac:dyDescent="0.25">
      <c r="C70" t="s">
        <v>272</v>
      </c>
      <c r="D70">
        <v>314093</v>
      </c>
    </row>
    <row r="71" spans="3:4" x14ac:dyDescent="0.25">
      <c r="C71" t="s">
        <v>275</v>
      </c>
      <c r="D71" t="s">
        <v>274</v>
      </c>
    </row>
    <row r="72" spans="3:4" x14ac:dyDescent="0.25">
      <c r="C72" t="s">
        <v>276</v>
      </c>
      <c r="D72">
        <v>314125</v>
      </c>
    </row>
    <row r="73" spans="3:4" x14ac:dyDescent="0.25">
      <c r="C73" t="s">
        <v>278</v>
      </c>
      <c r="D73">
        <v>315025</v>
      </c>
    </row>
    <row r="74" spans="3:4" x14ac:dyDescent="0.25">
      <c r="C74" t="s">
        <v>280</v>
      </c>
      <c r="D74">
        <v>314122</v>
      </c>
    </row>
    <row r="75" spans="3:4" x14ac:dyDescent="0.25">
      <c r="C75" t="s">
        <v>282</v>
      </c>
      <c r="D75">
        <v>315026</v>
      </c>
    </row>
    <row r="76" spans="3:4" x14ac:dyDescent="0.25">
      <c r="C76" t="s">
        <v>284</v>
      </c>
      <c r="D76">
        <v>315027</v>
      </c>
    </row>
    <row r="77" spans="3:4" x14ac:dyDescent="0.25">
      <c r="C77" t="s">
        <v>286</v>
      </c>
      <c r="D77">
        <v>314053</v>
      </c>
    </row>
    <row r="78" spans="3:4" x14ac:dyDescent="0.25">
      <c r="C78" t="s">
        <v>288</v>
      </c>
      <c r="D78">
        <v>314110</v>
      </c>
    </row>
    <row r="79" spans="3:4" x14ac:dyDescent="0.25">
      <c r="C79" t="s">
        <v>291</v>
      </c>
      <c r="D79" t="s">
        <v>290</v>
      </c>
    </row>
    <row r="80" spans="3:4" x14ac:dyDescent="0.25">
      <c r="C80" t="s">
        <v>293</v>
      </c>
      <c r="D80" t="s">
        <v>292</v>
      </c>
    </row>
    <row r="81" spans="3:4" x14ac:dyDescent="0.25">
      <c r="C81" t="s">
        <v>295</v>
      </c>
      <c r="D81" t="s">
        <v>294</v>
      </c>
    </row>
    <row r="82" spans="3:4" x14ac:dyDescent="0.25">
      <c r="C82" t="s">
        <v>297</v>
      </c>
      <c r="D82" t="s">
        <v>296</v>
      </c>
    </row>
    <row r="83" spans="3:4" x14ac:dyDescent="0.25">
      <c r="C83" t="s">
        <v>299</v>
      </c>
      <c r="D83" t="s">
        <v>298</v>
      </c>
    </row>
    <row r="84" spans="3:4" x14ac:dyDescent="0.25">
      <c r="C84" t="s">
        <v>301</v>
      </c>
      <c r="D84" t="s">
        <v>300</v>
      </c>
    </row>
    <row r="85" spans="3:4" x14ac:dyDescent="0.25">
      <c r="C85" t="s">
        <v>303</v>
      </c>
      <c r="D85" t="s">
        <v>302</v>
      </c>
    </row>
    <row r="86" spans="3:4" x14ac:dyDescent="0.25">
      <c r="C86" t="s">
        <v>305</v>
      </c>
      <c r="D86" t="s">
        <v>304</v>
      </c>
    </row>
    <row r="87" spans="3:4" x14ac:dyDescent="0.25">
      <c r="C87" t="s">
        <v>306</v>
      </c>
      <c r="D87">
        <v>416042</v>
      </c>
    </row>
    <row r="88" spans="3:4" x14ac:dyDescent="0.25">
      <c r="C88" t="s">
        <v>308</v>
      </c>
      <c r="D88">
        <v>314126</v>
      </c>
    </row>
    <row r="89" spans="3:4" x14ac:dyDescent="0.25">
      <c r="C89" t="s">
        <v>163</v>
      </c>
      <c r="D89">
        <v>314059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DB</vt:lpstr>
      <vt:lpstr>CODING</vt:lpstr>
      <vt:lpstr>Staff</vt:lpstr>
      <vt:lpstr>PRODUCT</vt:lpstr>
      <vt:lpstr>PIVOT_PRODUCT</vt:lpstr>
      <vt:lpstr>DB_PRODUCT</vt:lpstr>
      <vt:lpstr>EDIT PRIVILEGE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I C E T E C H N O</dc:creator>
  <cp:lastModifiedBy>N I C E T E C H N O</cp:lastModifiedBy>
  <dcterms:created xsi:type="dcterms:W3CDTF">2021-02-20T02:42:00Z</dcterms:created>
  <dcterms:modified xsi:type="dcterms:W3CDTF">2021-03-28T14:20:55Z</dcterms:modified>
</cp:coreProperties>
</file>